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5"/>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C2" i="4"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B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<sst xmlns="http://schemas.openxmlformats.org/spreadsheetml/2006/main" count="4632" uniqueCount="3323">
  <si>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</si>
  <si>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</si>
  <si>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</si>
  <si>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</si>
  <si>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</si>
  <si>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</si>
  <si>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</si>
  <si>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</si>
  <si>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</si>
  <si>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</si>
  <si>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</si>
  <si>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</si>
  <si>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</si>
  <si>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</si>
  <si>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</si>
  <si>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</si>
  <si>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</si>
  <si>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</si>
  <si>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</si>
  <si>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</si>
  <si>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</si>
  <si>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</si>
  <si>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</si>
  <si>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</si>
  <si>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</si>
  <si>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</si>
  <si>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</si>
  <si>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</si>
  <si>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</si>
  <si>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</si>
  <si>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</si>
  <si>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</si>
  <si>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</si>
  <si>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</si>
  <si>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</si>
  <si>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</si>
  <si>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</si>
  <si>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</si>
  <si>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</si>
  <si>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</si>
  <si>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</si>
  <si>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</si>
  <si>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</si>
  <si>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</si>
  <si>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</si>
  <si>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</si>
  <si>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</si>
  <si>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</si>
  <si>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</si>
  <si>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</si>
  <si>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</si>
  <si>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</si>
  <si>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</si>
  <si>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</si>
  <si>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</si>
  <si>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</si>
  <si>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</si>
  <si>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</si>
  <si>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</si>
  <si>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</si>
  <si>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</si>
  <si>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</si>
  <si>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</si>
  <si>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</si>
  <si>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</si>
  <si>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</si>
  <si>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</si>
  <si>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</si>
  <si>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</si>
  <si>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</si>
  <si>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</si>
  <si>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</si>
  <si>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</si>
  <si>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</si>
  <si>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</si>
  <si>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</si>
  <si>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</si>
  <si>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</si>
  <si>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</si>
  <si>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</si>
  <si>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</si>
  <si>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</si>
  <si>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</si>
  <si>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</si>
  <si>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</si>
  <si>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</si>
  <si>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</si>
  <si>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</si>
  <si>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</si>
  <si>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</si>
  <si>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</si>
  <si>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</si>
  <si>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</si>
  <si>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</si>
  <si>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</si>
  <si>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</si>
  <si>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</si>
  <si>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</si>
  <si>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</si>
  <si>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</si>
  <si>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</si>
  <si>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</si>
  <si>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</si>
  <si>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</si>
  <si>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</si>
  <si>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</si>
  <si>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</si>
  <si>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</si>
  <si>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</si>
  <si>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</si>
  <si>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</si>
  <si>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</si>
  <si>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</si>
  <si>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</si>
  <si>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</si>
  <si>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</si>
  <si>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</si>
  <si>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</si>
  <si>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</si>
  <si>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</si>
  <si>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</si>
  <si>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</si>
  <si>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</si>
  <si>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</si>
  <si>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</si>
  <si>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</si>
  <si>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</si>
  <si>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</si>
  <si>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</si>
  <si>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</si>
  <si>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</si>
  <si>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</si>
  <si>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</si>
  <si>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</si>
  <si>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</si>
  <si>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</si>
  <si>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</si>
  <si>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</si>
  <si>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</si>
  <si>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</si>
  <si>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</si>
  <si>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</si>
  <si>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</si>
  <si>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</si>
  <si>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</si>
  <si>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</si>
  <si>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</si>
  <si>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</si>
  <si>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</si>
  <si>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</si>
  <si>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</si>
  <si>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</si>
  <si>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</si>
  <si>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</si>
  <si>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</si>
  <si>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</si>
  <si>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</si>
  <si>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</si>
  <si>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</si>
  <si>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</si>
  <si>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</si>
  <si>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</si>
  <si>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</si>
  <si>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</si>
  <si>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</si>
  <si>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</si>
  <si>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</si>
  <si>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</si>
  <si>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</si>
  <si>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</si>
  <si>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</si>
  <si>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</si>
  <si>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</si>
  <si>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</si>
  <si>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</si>
  <si>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</si>
  <si>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</si>
  <si>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</si>
  <si>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</si>
  <si>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</si>
  <si>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</si>
  <si>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</si>
  <si>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</si>
  <si>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</si>
  <si>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</si>
  <si>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</si>
  <si>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</si>
  <si>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</si>
  <si>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</si>
  <si>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</si>
  <si>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</si>
  <si>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</si>
  <si>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</si>
  <si>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</si>
  <si>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</si>
  <si>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</si>
  <si>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</si>
  <si>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</si>
  <si>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</si>
  <si>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</si>
  <si>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</si>
  <si>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</si>
  <si>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</si>
  <si>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</si>
  <si>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</si>
  <si>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</si>
  <si>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</si>
  <si>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</si>
  <si>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</si>
  <si>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</si>
  <si>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</si>
  <si>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</si>
  <si>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</si>
  <si>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</si>
  <si>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</si>
  <si>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</si>
  <si>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</si>
  <si>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</si>
  <si>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</si>
  <si>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</si>
  <si>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</si>
  <si>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</si>
  <si>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</si>
  <si>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</si>
  <si>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</si>
  <si>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</si>
  <si>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</si>
  <si>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</si>
  <si>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</si>
  <si>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</si>
  <si>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</si>
  <si>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</si>
  <si>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</si>
  <si>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</si>
  <si>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</si>
  <si>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</si>
  <si>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</si>
  <si>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</si>
  <si>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</si>
  <si>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</si>
  <si>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</si>
  <si>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</si>
  <si>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</si>
  <si>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</si>
  <si>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</si>
  <si>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</si>
  <si>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</si>
  <si>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</si>
  <si>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</si>
  <si>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</si>
  <si>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</si>
  <si>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</si>
  <si>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</si>
  <si>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</si>
  <si>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</si>
  <si>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</si>
  <si>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</si>
  <si>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</si>
  <si>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</si>
  <si>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</si>
  <si>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</si>
  <si>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</si>
  <si>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</si>
  <si>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</si>
  <si>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</si>
  <si>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</si>
  <si>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</si>
  <si>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</si>
  <si>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</si>
  <si>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</si>
  <si>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</si>
  <si>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</si>
  <si>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</si>
  <si>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</si>
  <si>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</si>
  <si>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</si>
  <si>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</si>
  <si>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</si>
  <si>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</si>
  <si>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</si>
  <si>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</si>
  <si>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</si>
  <si>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</si>
  <si>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</si>
  <si>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</si>
  <si>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</si>
  <si>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</si>
  <si>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</si>
  <si>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</si>
  <si>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</si>
  <si>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</si>
  <si>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</si>
  <si>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</si>
  <si>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</si>
  <si>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</si>
  <si>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</si>
  <si>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</si>
  <si>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</si>
  <si>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</si>
  <si>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</si>
  <si>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</si>
  <si>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</si>
  <si>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</si>
  <si>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</si>
  <si>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</si>
  <si>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</si>
  <si>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</si>
  <si>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</si>
  <si>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</si>
  <si>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</si>
  <si>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</si>
  <si>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</si>
  <si>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</si>
  <si>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</si>
  <si>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</si>
  <si>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</si>
  <si>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</si>
  <si>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</si>
  <si>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</si>
  <si>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</si>
  <si>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</si>
  <si>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</si>
  <si>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</si>
  <si>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</si>
  <si>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</si>
  <si>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</si>
  <si>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</si>
  <si>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</si>
  <si>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</si>
  <si>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</si>
  <si>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</si>
  <si>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</si>
  <si>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</si>
  <si>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</si>
  <si>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</si>
  <si>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</si>
  <si>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</si>
  <si>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</si>
  <si>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</si>
  <si>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</si>
  <si>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</si>
  <si>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</si>
  <si>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</si>
  <si>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</si>
  <si>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</si>
  <si>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</si>
  <si>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</si>
  <si>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</si>
  <si>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</si>
  <si>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</si>
  <si>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</si>
  <si>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</si>
  <si>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</si>
  <si>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</si>
  <si>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</si>
  <si>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</si>
  <si>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</si>
  <si>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</si>
  <si>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</si>
  <si>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</si>
  <si>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</si>
  <si>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</si>
  <si>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</si>
  <si>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</si>
  <si>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</si>
  <si>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</si>
  <si>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</si>
  <si>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</si>
  <si>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</si>
  <si>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</si>
  <si>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</si>
  <si>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</si>
  <si>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</si>
  <si>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</si>
  <si>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</si>
  <si>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</si>
  <si>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</si>
  <si>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</si>
  <si>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</si>
  <si>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</si>
  <si>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</si>
  <si>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</si>
  <si>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</si>
  <si>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</si>
  <si>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</si>
  <si>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</si>
  <si>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</si>
  <si>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</si>
  <si>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</si>
  <si>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</si>
  <si>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</si>
  <si>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</si>
  <si>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</si>
  <si>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</si>
  <si>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</si>
  <si>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</si>
  <si>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</si>
  <si>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</si>
  <si>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</si>
  <si>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</si>
  <si>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</si>
  <si>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</si>
  <si>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</si>
  <si>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</si>
  <si>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</si>
  <si>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</si>
  <si>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</si>
  <si>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</si>
  <si>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</si>
  <si>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</si>
  <si>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</si>
  <si>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</si>
  <si>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</si>
  <si>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</si>
  <si>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</si>
  <si>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</si>
  <si>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</si>
  <si>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</si>
  <si>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</si>
  <si>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</si>
  <si>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</si>
  <si>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</si>
  <si>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</si>
  <si>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</si>
  <si>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</si>
  <si>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</si>
  <si>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</si>
  <si>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</si>
  <si>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</si>
  <si>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</si>
  <si>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</si>
  <si>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</si>
  <si>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</si>
  <si>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</si>
  <si>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</si>
  <si>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</si>
  <si>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</si>
  <si>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</si>
  <si>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</si>
  <si>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</si>
  <si>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</si>
  <si>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</si>
  <si>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</si>
  <si>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</si>
  <si>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</si>
  <si>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</si>
  <si>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</si>
  <si>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</si>
  <si>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</si>
  <si>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</si>
  <si>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</si>
  <si>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</si>
  <si>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</si>
  <si>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</si>
  <si>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</si>
  <si>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</si>
  <si>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</si>
  <si>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</si>
  <si>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</si>
  <si>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</si>
  <si>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</si>
  <si>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</si>
  <si>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</si>
  <si>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</si>
  <si>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</si>
  <si>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</si>
  <si>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</si>
  <si>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</si>
  <si>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</si>
  <si>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</si>
  <si>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</si>
  <si>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</si>
  <si>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</si>
  <si>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</si>
  <si>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</si>
  <si>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</si>
  <si>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</si>
  <si>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</si>
  <si>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</si>
  <si>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</si>
  <si>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</si>
  <si>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</si>
  <si>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</si>
  <si>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</si>
  <si>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</si>
  <si>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</si>
  <si>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</si>
  <si>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</si>
  <si>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</si>
  <si>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</si>
  <si>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</si>
  <si>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</si>
  <si>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</si>
  <si>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</si>
  <si>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</si>
  <si>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</si>
  <si>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</si>
  <si>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</si>
  <si>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</si>
  <si>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</si>
  <si>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</si>
  <si>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</si>
  <si>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</si>
  <si>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</si>
  <si>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</si>
  <si>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</si>
  <si>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</si>
  <si>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</si>
  <si>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</si>
  <si>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</si>
  <si>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</si>
  <si>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</si>
  <si>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</si>
  <si>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</si>
  <si>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</si>
  <si>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</si>
  <si>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</si>
  <si>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</si>
  <si>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</si>
  <si>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</si>
  <si>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</si>
  <si>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</si>
  <si>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</si>
  <si>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</si>
  <si>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</si>
  <si>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</si>
  <si>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</si>
  <si>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</si>
  <si>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</si>
  <si>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</si>
  <si>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</si>
  <si>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</si>
  <si>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</si>
  <si>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</si>
  <si>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</si>
  <si>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</si>
  <si>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</si>
  <si>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</si>
  <si>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</si>
  <si>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</si>
  <si>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</si>
  <si>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</si>
  <si>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</si>
  <si>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</si>
  <si>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</si>
  <si>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</si>
  <si>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</si>
  <si>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</si>
  <si>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</si>
  <si>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</si>
  <si>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</si>
  <si>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</si>
  <si>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</si>
  <si>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</si>
  <si>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</si>
  <si>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</si>
  <si>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</si>
  <si>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</si>
  <si>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</si>
  <si>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</si>
  <si>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</si>
  <si>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</si>
  <si>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</si>
  <si>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</si>
  <si>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</si>
  <si>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</si>
  <si>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</si>
  <si>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</si>
  <si>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</si>
  <si>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</si>
  <si>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</si>
  <si>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</si>
  <si>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</si>
  <si>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</si>
  <si>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</si>
  <si>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</si>
  <si>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</si>
  <si>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</si>
  <si>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</si>
  <si>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</si>
  <si>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</si>
  <si>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</si>
  <si>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</si>
  <si>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</si>
  <si>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</si>
  <si>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</si>
  <si>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</si>
  <si>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</si>
  <si>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</si>
  <si>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</si>
  <si>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</si>
  <si>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</si>
  <si>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</si>
  <si>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</si>
  <si>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</si>
  <si>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</si>
  <si>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</si>
  <si>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</si>
  <si>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</si>
  <si>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</si>
  <si>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</si>
  <si>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</si>
  <si>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</si>
  <si>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</si>
  <si>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</si>
  <si>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</si>
  <si>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</si>
  <si>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</si>
  <si>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</si>
  <si>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</si>
  <si>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</si>
  <si>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</si>
  <si>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</si>
  <si>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</si>
  <si>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</si>
  <si>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</si>
  <si>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</si>
  <si>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</si>
  <si>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</si>
  <si>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</si>
  <si>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</si>
  <si>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</si>
  <si>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</si>
  <si>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</si>
  <si>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</si>
  <si>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</si>
  <si>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</si>
  <si>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</si>
  <si>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</si>
  <si>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</si>
  <si>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</si>
  <si>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</si>
  <si>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</si>
  <si>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</si>
  <si>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</si>
  <si>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</si>
  <si>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</si>
  <si>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</si>
  <si>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</si>
  <si>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</si>
  <si>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</si>
  <si>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</si>
  <si>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</si>
  <si>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</si>
  <si>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</si>
  <si>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</si>
  <si>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</si>
  <si>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</si>
  <si>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</si>
  <si>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</si>
  <si>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</si>
  <si>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</si>
  <si>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</si>
  <si>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</si>
  <si>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</si>
  <si>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</si>
  <si>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</si>
  <si>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</si>
  <si>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</si>
  <si>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</si>
  <si>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</si>
  <si>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</si>
  <si>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</si>
  <si>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</si>
  <si>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</si>
  <si>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</si>
  <si>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</si>
  <si>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</si>
  <si>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</si>
  <si>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</si>
  <si>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</si>
  <si>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</si>
  <si>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</si>
  <si>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</si>
  <si>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</si>
  <si>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</si>
  <si>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</si>
  <si>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</si>
  <si>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</si>
  <si>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</si>
  <si>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</si>
  <si>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</si>
  <si>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</si>
  <si>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</si>
  <si>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</si>
  <si>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</si>
  <si>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</si>
  <si>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</si>
  <si>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</si>
  <si>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</si>
  <si>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</si>
  <si>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</si>
  <si>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</si>
  <si>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</si>
  <si>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</si>
  <si>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</si>
  <si>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</si>
  <si>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</si>
  <si>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</si>
  <si>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</si>
  <si>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</si>
  <si>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</si>
  <si>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</si>
  <si>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</si>
  <si>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</si>
  <si>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</si>
  <si>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</si>
  <si>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</si>
  <si>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</si>
  <si>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</si>
  <si>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</si>
  <si>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</si>
  <si>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</si>
  <si>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</si>
  <si>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</si>
  <si>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</si>
  <si>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</si>
  <si>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</si>
  <si>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</si>
  <si>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</si>
  <si>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</si>
  <si>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</si>
  <si>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</si>
  <si>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</si>
  <si>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</si>
  <si>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</si>
  <si>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</si>
  <si>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</si>
  <si>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</si>
  <si>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</si>
  <si>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</si>
  <si>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</si>
  <si>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</si>
  <si>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</si>
  <si>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</si>
  <si>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</si>
  <si>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</si>
  <si>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</si>
  <si>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</si>
  <si>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</si>
  <si>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</si>
  <si>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</si>
  <si>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</si>
  <si>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</si>
  <si>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</si>
  <si>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</si>
  <si>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</si>
  <si>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</si>
  <si>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</si>
  <si>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</si>
  <si>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</si>
  <si>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</si>
  <si>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</si>
  <si>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</si>
  <si>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</si>
  <si>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</si>
  <si>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</si>
  <si>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</si>
  <si>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</si>
  <si>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</si>
  <si>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</si>
  <si>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</si>
  <si>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</si>
  <si>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</si>
  <si>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</si>
  <si>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</si>
  <si>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</si>
  <si>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</si>
  <si>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</si>
  <si>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</si>
  <si>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</si>
  <si>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</si>
  <si>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</si>
  <si>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</si>
  <si>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</si>
  <si>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</si>
  <si>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</si>
  <si>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</si>
  <si>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</si>
  <si>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</si>
  <si>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</si>
  <si>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</si>
  <si>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</si>
  <si>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</si>
  <si>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</si>
  <si>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</si>
  <si>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</si>
  <si>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</si>
  <si>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</si>
  <si>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</si>
  <si>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</si>
  <si>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</si>
  <si>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</si>
  <si>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</si>
  <si>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</si>
  <si>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</si>
  <si>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</si>
  <si>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</si>
  <si>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</si>
  <si>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</si>
  <si>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</si>
  <si>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</si>
  <si>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</si>
  <si>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</si>
  <si>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</si>
  <si>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</si>
  <si>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</si>
  <si>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</si>
  <si>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</si>
  <si>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</si>
  <si>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</si>
  <si>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</si>
  <si>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</si>
  <si>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</si>
  <si>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</si>
  <si>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</si>
  <si>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</si>
  <si>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</si>
  <si>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</si>
  <si>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</si>
  <si>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</si>
  <si>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</si>
  <si>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</si>
  <si>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</si>
  <si>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</si>
  <si>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</si>
  <si>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</si>
  <si>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</si>
  <si>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</si>
  <si>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</si>
  <si>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</si>
  <si>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</si>
  <si>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</si>
  <si>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</si>
  <si>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</si>
  <si>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</si>
  <si>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</si>
  <si>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</si>
  <si>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</si>
  <si>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</si>
  <si>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</si>
  <si>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</si>
  <si>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</si>
  <si>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</si>
  <si>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</si>
  <si>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</si>
  <si>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</si>
  <si>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</si>
  <si>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</si>
  <si>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</si>
  <si>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</si>
  <si>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</si>
  <si>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</si>
  <si>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</si>
  <si>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</si>
  <si>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</si>
  <si>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</si>
  <si>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</si>
  <si>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</si>
  <si>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</si>
  <si>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</si>
  <si>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</si>
  <si>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</si>
  <si>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</si>
  <si>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</si>
  <si>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</si>
  <si>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</si>
  <si>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</si>
  <si>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</si>
  <si>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</si>
  <si>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</si>
  <si>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</si>
  <si>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</si>
  <si>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</si>
  <si>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</si>
  <si>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</si>
  <si>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</si>
  <si>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</si>
  <si>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</si>
  <si>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</si>
  <si>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</si>
  <si>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</si>
  <si>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</si>
  <si>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</si>
  <si>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</si>
  <si>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</si>
  <si>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</si>
  <si>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</si>
  <si>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</si>
  <si>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</si>
  <si>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</si>
  <si>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</si>
  <si>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</si>
  <si>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</si>
  <si>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</si>
  <si>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</si>
  <si>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</si>
  <si>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</si>
  <si>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</si>
  <si>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</si>
  <si>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</si>
  <si>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</si>
  <si>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</si>
  <si>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</si>
  <si>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</si>
  <si>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</si>
  <si>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</si>
  <si>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</si>
  <si>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</si>
  <si>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</si>
  <si>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</si>
  <si>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</si>
  <si>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</si>
  <si>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</si>
  <si>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</si>
  <si>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</si>
  <si>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</si>
  <si>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</si>
  <si>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</si>
  <si>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</si>
  <si>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</si>
  <si>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</si>
  <si>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</si>
  <si>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</si>
  <si>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</si>
  <si>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</si>
  <si>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</si>
  <si>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</si>
  <si>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</si>
  <si>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</si>
  <si>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</si>
  <si>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</si>
  <si>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</si>
  <si>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</si>
  <si>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</si>
  <si>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</si>
  <si>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</si>
  <si>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</si>
  <si>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</si>
  <si>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</si>
  <si>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</si>
  <si>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</si>
  <si>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</si>
  <si>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</si>
  <si>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</si>
  <si>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</si>
  <si>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</si>
  <si>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</si>
  <si>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</si>
  <si>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</si>
  <si>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</si>
  <si>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</si>
  <si>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</si>
  <si>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</si>
  <si>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</si>
  <si>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</si>
  <si>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</si>
  <si>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</si>
  <si>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</si>
  <si>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</si>
  <si>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</si>
  <si>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</si>
  <si>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</si>
  <si>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</si>
  <si>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</si>
  <si>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</si>
  <si>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</si>
  <si>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</si>
  <si>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</si>
  <si>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</si>
  <si>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</si>
  <si>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</si>
  <si>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</si>
  <si>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</si>
  <si>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</si>
  <si>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</si>
  <si>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</si>
  <si>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</si>
  <si>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</si>
  <si>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</si>
  <si>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</si>
  <si>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</si>
  <si>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</si>
  <si>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</si>
  <si>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</si>
  <si>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</si>
  <si>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</si>
  <si>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</si>
  <si>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</si>
  <si>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</si>
  <si>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</si>
  <si>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</si>
  <si>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</si>
  <si>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</si>
  <si>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</si>
  <si>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</si>
  <si>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</si>
  <si>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</si>
  <si>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</si>
  <si>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</si>
  <si>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</si>
  <si>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</si>
  <si>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</si>
  <si>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</si>
  <si>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</si>
  <si>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</si>
  <si>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</si>
  <si>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</si>
  <si>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</si>
  <si>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</si>
  <si>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</si>
  <si>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</si>
  <si>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</si>
  <si>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</si>
  <si>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</si>
  <si>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</si>
  <si>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</si>
  <si>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</si>
  <si>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</si>
  <si>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</si>
  <si>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</si>
  <si>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</si>
  <si>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</si>
  <si>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</si>
  <si>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</si>
  <si>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</si>
  <si>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</si>
  <si>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</si>
  <si>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</si>
  <si>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</si>
  <si>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</si>
  <si>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</si>
  <si>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</si>
  <si>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</si>
  <si>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</si>
  <si>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</si>
  <si>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</si>
  <si>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</si>
  <si>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</si>
  <si>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</si>
  <si>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</si>
  <si>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</si>
  <si>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</si>
  <si>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</si>
  <si>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</si>
  <si>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</si>
  <si>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</si>
  <si>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</si>
  <si>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</si>
  <si>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</si>
  <si>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</si>
  <si>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</si>
  <si>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</si>
  <si>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</si>
  <si>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</si>
  <si>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</si>
  <si>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</si>
  <si>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</si>
  <si>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</si>
  <si>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</si>
  <si>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</si>
  <si>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</si>
  <si>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</si>
  <si>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</si>
  <si>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</si>
  <si>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</si>
  <si>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</si>
  <si>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</si>
  <si>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</si>
  <si>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</si>
  <si>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</si>
  <si>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</si>
  <si>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</si>
  <si>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</si>
  <si>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</si>
  <si>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</si>
  <si>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</si>
  <si>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</si>
  <si>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</si>
  <si>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</si>
  <si>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</si>
  <si>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</si>
  <si>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</si>
  <si>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</si>
  <si>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</si>
  <si>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</si>
  <si>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</si>
  <si>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</si>
  <si>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</si>
  <si>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</si>
  <si>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</si>
  <si>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</si>
  <si>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</si>
  <si>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</si>
  <si>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</si>
  <si>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</si>
  <si>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</si>
  <si>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</si>
  <si>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</si>
  <si>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</si>
  <si>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</si>
  <si>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</si>
  <si>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</si>
  <si>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</si>
  <si>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</si>
  <si>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</si>
  <si>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</si>
  <si>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</si>
  <si>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</si>
  <si>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</si>
  <si>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</si>
  <si>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</si>
  <si>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</si>
  <si>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</si>
  <si>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</si>
  <si>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</si>
  <si>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</si>
  <si>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</si>
  <si>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</si>
  <si>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</si>
  <si>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</si>
  <si>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</si>
  <si>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</si>
  <si>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</si>
  <si>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</si>
  <si>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</si>
  <si>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</si>
  <si>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</si>
  <si>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</si>
  <si>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</si>
  <si>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</si>
  <si>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</si>
  <si>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</si>
  <si>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</si>
  <si>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</si>
  <si>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</si>
  <si>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</si>
  <si>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</si>
  <si>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</si>
  <si>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</si>
  <si>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</si>
  <si>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</si>
  <si>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</si>
  <si>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</si>
  <si>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</si>
  <si>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</si>
  <si>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</si>
  <si>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</si>
  <si>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</si>
  <si>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</si>
  <si>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</si>
  <si>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</si>
  <si>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</si>
  <si>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</si>
  <si>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</si>
  <si>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</si>
  <si>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</si>
  <si>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</si>
  <si>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</si>
  <si>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</si>
  <si>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</si>
  <si>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</si>
  <si>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</si>
  <si>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</si>
  <si>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</si>
  <si>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</si>
  <si>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</si>
  <si>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</si>
  <si>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</si>
  <si>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</si>
  <si>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</si>
  <si>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</si>
  <si>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</si>
  <si>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</si>
  <si>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</si>
  <si>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</si>
  <si>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</si>
  <si>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</si>
  <si>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</si>
  <si>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</si>
  <si>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</si>
  <si>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</si>
  <si>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</si>
  <si>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</si>
  <si>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</si>
  <si>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</si>
  <si>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</si>
  <si>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</si>
  <si>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</si>
  <si>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</si>
  <si>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</si>
  <si>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</si>
  <si>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</si>
  <si>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</si>
  <si>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</si>
  <si>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</si>
  <si>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</si>
  <si>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</si>
  <si>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</si>
  <si>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</si>
  <si>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</si>
  <si>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</si>
  <si>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</si>
  <si>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</si>
  <si>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</si>
  <si>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</si>
  <si>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</si>
  <si>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</si>
  <si>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</si>
  <si>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</si>
  <si>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</si>
  <si>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</si>
  <si>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</si>
  <si>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</si>
  <si>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</si>
  <si>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</si>
  <si>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</si>
  <si>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</si>
  <si>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</si>
  <si>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</si>
  <si>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</si>
  <si>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</si>
  <si>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</si>
  <si>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</si>
  <si>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</si>
  <si>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</si>
  <si>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</si>
  <si>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</si>
  <si>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</si>
  <si>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</si>
  <si>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</si>
  <si>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</si>
  <si>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</si>
  <si>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</si>
  <si>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</si>
  <si>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</si>
  <si>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</si>
  <si>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</si>
  <si>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</si>
  <si>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</si>
  <si>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</si>
  <si>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</si>
  <si>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</si>
  <si>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</si>
  <si>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</si>
  <si>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</si>
  <si>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</si>
  <si>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</si>
  <si>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</si>
  <si>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</si>
  <si>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</si>
  <si>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</si>
  <si>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</si>
  <si>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</si>
  <si>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</si>
  <si>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</si>
  <si>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</si>
  <si>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</si>
  <si>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</si>
  <si>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</si>
  <si>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</si>
  <si>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</si>
  <si>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</si>
  <si>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</si>
  <si>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</si>
  <si>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</si>
  <si>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</si>
  <si>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</si>
  <si>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</si>
  <si>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</si>
  <si>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</si>
  <si>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</si>
  <si>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</si>
  <si>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</si>
  <si>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</si>
  <si>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</si>
  <si>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</si>
  <si>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</si>
  <si>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</si>
  <si>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</si>
  <si>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</si>
  <si>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</si>
  <si>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</si>
  <si>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</si>
  <si>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</si>
  <si>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</si>
  <si>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</si>
  <si>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</si>
  <si>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</si>
  <si>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</si>
  <si>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</si>
  <si>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</si>
  <si>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</si>
  <si>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</si>
  <si>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</si>
  <si>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</si>
  <si>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</si>
  <si>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</si>
  <si>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</si>
  <si>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</si>
  <si>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</si>
  <si>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</si>
  <si>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</si>
  <si>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</si>
  <si>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</si>
  <si>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</si>
  <si>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</si>
  <si>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</si>
  <si>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</si>
  <si>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</si>
  <si>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</si>
  <si>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</si>
  <si>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</si>
  <si>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</si>
  <si>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</si>
  <si>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</si>
  <si>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</si>
  <si>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</si>
  <si>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</si>
  <si>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</si>
  <si>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</si>
  <si>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</si>
  <si>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</si>
  <si>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</si>
  <si>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</si>
  <si>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</si>
  <si>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</si>
  <si>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</si>
  <si>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</si>
  <si>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</si>
  <si>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</si>
  <si>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</si>
  <si>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</si>
  <si>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</si>
  <si>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</si>
  <si>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</si>
  <si>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</si>
  <si>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</si>
  <si>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</si>
  <si>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</si>
  <si>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</si>
  <si>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</si>
  <si>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</si>
  <si>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</si>
  <si>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</si>
  <si>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</si>
  <si>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</si>
  <si>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</si>
  <si>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</si>
  <si>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</si>
  <si>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</si>
  <si>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</si>
  <si>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</si>
  <si>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</si>
  <si>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</si>
  <si>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</si>
  <si>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</si>
  <si>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</si>
  <si>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</si>
  <si>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</si>
  <si>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</si>
  <si>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</si>
  <si>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</si>
  <si>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</si>
  <si>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</si>
  <si>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</si>
  <si>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</si>
  <si>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</si>
  <si>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</si>
  <si>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</si>
  <si>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</si>
  <si>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</si>
  <si>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</si>
  <si>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</si>
  <si>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</si>
  <si>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</si>
  <si>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</si>
  <si>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</si>
  <si>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</si>
  <si>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</si>
  <si>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</si>
  <si>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</si>
  <si>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</si>
  <si>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</si>
  <si>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</si>
  <si>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</si>
  <si>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</si>
  <si>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</si>
  <si>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</si>
  <si>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</si>
  <si>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</si>
  <si>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</si>
  <si>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</si>
  <si>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</si>
  <si>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</si>
  <si>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</si>
  <si>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</si>
  <si>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</si>
  <si>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</si>
  <si>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</si>
  <si>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</si>
  <si>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</si>
  <si>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</si>
  <si>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</si>
  <si>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</si>
  <si>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</si>
  <si>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</si>
  <si>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</si>
  <si>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</si>
  <si>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</si>
  <si>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</si>
  <si>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</si>
  <si>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</si>
  <si>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</si>
  <si>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</si>
  <si>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</si>
  <si>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</si>
  <si>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</si>
  <si>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</si>
  <si>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</si>
  <si>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</si>
  <si>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</si>
  <si>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</si>
  <si>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</si>
  <si>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</si>
  <si>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</si>
  <si>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</si>
  <si>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</si>
  <si>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</si>
  <si>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</si>
  <si>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</si>
  <si>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</si>
  <si>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</si>
  <si>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</si>
  <si>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</si>
  <si>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</si>
  <si>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</si>
  <si>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</si>
  <si>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</si>
  <si>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</si>
  <si>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</si>
  <si>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</si>
  <si>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</si>
  <si>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</si>
  <si>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</si>
  <si>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</si>
  <si>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</si>
  <si>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</si>
  <si>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</si>
  <si>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</si>
  <si>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</si>
  <si>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</si>
  <si>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</si>
  <si>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</si>
  <si>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</si>
  <si>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</si>
  <si>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</si>
  <si>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</si>
  <si>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</si>
  <si>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</si>
  <si>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</si>
  <si>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</si>
  <si>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</si>
  <si>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</si>
  <si>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</si>
  <si>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</si>
  <si>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</si>
  <si>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</si>
  <si>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</si>
  <si>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</si>
  <si>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</si>
  <si>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</si>
  <si>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</si>
  <si>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</si>
  <si>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</si>
  <si>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</si>
  <si>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</si>
  <si>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</si>
  <si>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</si>
  <si>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</si>
  <si>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</si>
  <si>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</si>
  <si>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</si>
  <si>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</si>
  <si>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</si>
  <si>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</si>
  <si>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</si>
  <si>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</si>
  <si>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</si>
  <si>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</si>
  <si>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</si>
  <si>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</si>
  <si>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</si>
  <si>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</si>
  <si>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</si>
  <si>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</si>
  <si>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</si>
  <si>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</si>
  <si>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</si>
  <si>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</si>
  <si>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</si>
  <si>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</si>
  <si>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</si>
  <si>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</si>
  <si>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</si>
  <si>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</si>
  <si>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</si>
  <si>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</si>
  <si>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</si>
  <si>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</si>
  <si>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</si>
  <si>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</si>
  <si>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</si>
  <si>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</si>
  <si>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</si>
  <si>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</si>
  <si>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</si>
  <si>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</si>
  <si>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</si>
  <si>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</si>
  <si>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</si>
  <si>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</si>
  <si>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</si>
  <si>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</si>
  <si>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</si>
  <si>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</si>
  <si>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</si>
  <si>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</si>
  <si>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</si>
  <si>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</si>
  <si>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</si>
  <si>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</si>
  <si>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</si>
  <si>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</si>
  <si>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</si>
  <si>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</si>
  <si>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</si>
  <si>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</si>
  <si>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</si>
  <si>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</si>
  <si>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</si>
  <si>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</si>
  <si>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</si>
  <si>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</si>
  <si>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</si>
  <si>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</si>
  <si>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</si>
  <si>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</si>
  <si>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</si>
  <si>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</si>
  <si>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</si>
  <si>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</si>
  <si>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</si>
  <si>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</si>
  <si>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</si>
  <si>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</si>
  <si>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</si>
  <si>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</si>
  <si>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</si>
  <si>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</si>
  <si>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</si>
  <si>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</si>
  <si>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</si>
  <si>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</si>
  <si>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</si>
  <si>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</si>
  <si>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</si>
  <si>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</si>
  <si>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</si>
  <si>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</si>
  <si>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</si>
  <si>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</si>
  <si>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</si>
  <si>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</si>
  <si>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</si>
  <si>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</si>
  <si>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</si>
  <si>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</si>
  <si>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</si>
  <si>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</si>
  <si>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</si>
  <si>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</si>
  <si>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</si>
  <si>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</si>
  <si>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</si>
  <si>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</si>
  <si>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</si>
  <si>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</si>
  <si>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</si>
  <si>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</si>
  <si>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</si>
  <si>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</si>
  <si>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</si>
  <si>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</si>
  <si>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</si>
  <si>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</si>
  <si>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</si>
  <si>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</si>
  <si>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</si>
  <si>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</si>
  <si>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</si>
  <si>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</si>
  <si>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</si>
  <si>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</si>
  <si>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</si>
  <si>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</si>
  <si>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</si>
  <si>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</si>
  <si>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</si>
  <si>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</si>
  <si>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</si>
  <si>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</si>
  <si>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</si>
  <si>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</si>
  <si>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</si>
  <si>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</si>
  <si>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</si>
  <si>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</si>
  <si>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</si>
  <si>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</si>
  <si>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</si>
  <si>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</si>
  <si>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</si>
  <si>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</si>
  <si>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</si>
  <si>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</si>
  <si>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</si>
  <si>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</si>
  <si>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</si>
  <si>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</si>
  <si>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</si>
  <si>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</si>
  <si>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</si>
  <si>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</si>
  <si>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</si>
  <si>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</si>
  <si>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</si>
  <si>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</si>
  <si>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</si>
  <si>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</si>
  <si>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</si>
  <si>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</si>
  <si>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</si>
  <si>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</si>
  <si>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</si>
  <si>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</si>
  <si>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</si>
  <si>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</si>
  <si>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</si>
  <si>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</si>
  <si>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</si>
  <si>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</si>
  <si>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</si>
  <si>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</si>
  <si>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</si>
  <si>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</si>
  <si>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</si>
  <si>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</si>
  <si>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</si>
  <si>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</si>
  <si>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</si>
  <si>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</si>
  <si>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</si>
  <si>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</si>
  <si>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</si>
  <si>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</si>
  <si>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</si>
  <si>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</si>
  <si>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</si>
  <si>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</si>
  <si>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</si>
  <si>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</si>
  <si>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</si>
  <si>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</si>
  <si>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</si>
  <si>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</si>
  <si>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</si>
  <si>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</si>
  <si>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</si>
  <si>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</si>
  <si>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</si>
  <si>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</si>
  <si>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</si>
  <si>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</si>
  <si>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</si>
  <si>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</si>
  <si>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</si>
  <si>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</si>
  <si>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</si>
  <si>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</si>
  <si>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</si>
  <si>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</si>
  <si>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</si>
  <si>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</si>
  <si>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</si>
  <si>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</si>
  <si>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</si>
  <si>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</si>
  <si>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</si>
  <si>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</si>
  <si>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</si>
  <si>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</si>
  <si>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</si>
  <si>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</si>
  <si>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</si>
  <si>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</si>
  <si>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</si>
  <si>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</si>
  <si>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</si>
  <si>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</si>
  <si>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</si>
  <si>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</si>
  <si>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</si>
  <si>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</si>
  <si>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</si>
  <si>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</si>
  <si>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</si>
  <si>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</si>
  <si>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</si>
  <si>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</si>
  <si>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</si>
  <si>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</si>
  <si>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</si>
  <si>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</si>
  <si>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</si>
  <si>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</si>
  <si>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</si>
  <si>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</si>
  <si>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</si>
  <si>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</si>
  <si>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</si>
  <si>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</si>
  <si>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</si>
  <si>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</si>
  <si>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</si>
  <si>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</si>
  <si>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</si>
  <si>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</si>
  <si>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</si>
  <si>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</si>
  <si>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</si>
  <si>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</si>
  <si>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</si>
  <si>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</si>
  <si>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</si>
  <si>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</si>
  <si>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</si>
  <si>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</si>
  <si>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</si>
  <si>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</si>
  <si>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</si>
  <si>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</si>
  <si>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</si>
  <si>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</si>
  <si>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</si>
  <si>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</si>
  <si>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</si>
  <si>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</si>
  <si>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</si>
  <si>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</si>
  <si>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</si>
  <si>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</si>
  <si>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</si>
  <si>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</si>
  <si>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</si>
  <si>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</si>
  <si>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</si>
  <si>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</si>
  <si>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</si>
  <si>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</si>
  <si>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</si>
  <si>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</si>
  <si>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</si>
  <si>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</si>
  <si>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</si>
  <si>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</si>
  <si>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</si>
  <si>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</si>
  <si>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</si>
  <si>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</si>
  <si>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</si>
  <si>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</si>
  <si>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</si>
  <si>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</si>
  <si>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</si>
  <si>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</si>
  <si>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</si>
  <si>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</si>
  <si>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</si>
  <si>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</si>
  <si>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</si>
  <si>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</si>
  <si>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</si>
  <si>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</si>
  <si>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</si>
  <si>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</si>
  <si>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</si>
  <si>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</si>
  <si>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</si>
  <si>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</si>
  <si>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</si>
  <si>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</si>
  <si>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</si>
  <si>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</si>
  <si>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</si>
  <si>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</si>
  <si>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</si>
  <si>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</si>
  <si>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</si>
  <si>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</si>
  <si>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</si>
  <si>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</si>
  <si>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</si>
  <si>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</si>
  <si>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</si>
  <si>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</si>
  <si>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</si>
  <si>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</si>
  <si>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</si>
  <si>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</si>
  <si>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</si>
  <si>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</si>
  <si>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</si>
  <si>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</si>
  <si>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</si>
  <si>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</si>
  <si>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</si>
  <si>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</si>
  <si>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</si>
  <si>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</si>
  <si>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</si>
  <si>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</si>
  <si>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</si>
  <si>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</si>
  <si>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</si>
  <si>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</si>
  <si>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</si>
  <si>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</si>
  <si>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</si>
  <si>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</si>
  <si>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</si>
  <si>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</si>
  <si>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</si>
  <si>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</si>
  <si>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</si>
  <si>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</si>
  <si>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</si>
  <si>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</si>
  <si>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</si>
  <si>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</si>
  <si>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</si>
  <si>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</si>
  <si>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</si>
  <si>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</si>
  <si>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</si>
  <si>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</si>
  <si>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</si>
  <si>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</si>
  <si>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</si>
  <si>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</si>
  <si>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</si>
  <si>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</si>
  <si>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</si>
  <si>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</si>
  <si>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</si>
  <si>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</si>
  <si>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</si>
  <si>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</si>
  <si>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</si>
  <si>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</si>
  <si>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</si>
  <si>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</si>
  <si>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</si>
  <si>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</si>
  <si>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</si>
  <si>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</si>
  <si>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</si>
  <si>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</si>
  <si>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</si>
  <si>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</si>
  <si>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</si>
  <si>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</si>
  <si>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</si>
  <si>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</si>
  <si>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</si>
  <si>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</si>
  <si>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</si>
  <si>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</si>
  <si>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</si>
  <si>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</si>
  <si>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</si>
  <si>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</si>
  <si>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</si>
  <si>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</si>
  <si>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</si>
  <si>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</si>
  <si>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</si>
  <si>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</si>
  <si>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</si>
  <si>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</si>
  <si>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</si>
  <si>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</si>
  <si>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</si>
  <si>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</si>
  <si>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</si>
  <si>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</si>
  <si>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</si>
  <si>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</si>
  <si>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</si>
  <si>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</si>
  <si>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</si>
  <si>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</si>
  <si>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</si>
  <si>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</si>
  <si>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</si>
  <si>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</si>
  <si>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</si>
  <si>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</si>
  <si>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</si>
  <si>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</si>
  <si>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</si>
  <si>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</si>
  <si>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</si>
  <si>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</si>
  <si>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</si>
  <si>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</si>
  <si>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</si>
  <si>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</si>
  <si>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</si>
  <si>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</si>
  <si>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</si>
  <si>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</si>
  <si>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</si>
  <si>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</si>
  <si>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</si>
  <si>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</si>
  <si>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</si>
  <si>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</si>
  <si>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</si>
  <si>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</si>
  <si>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</si>
  <si>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</si>
  <si>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</si>
  <si>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</si>
  <si>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</si>
  <si>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</si>
  <si>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</si>
  <si>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</si>
  <si>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</si>
  <si>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</si>
  <si>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</si>
  <si>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</si>
  <si>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</si>
  <si>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</si>
  <si>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</si>
  <si>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</si>
  <si>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</si>
  <si>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</si>
  <si>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</si>
  <si>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</si>
  <si>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</si>
  <si>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</si>
  <si>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</si>
  <si>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</si>
  <si>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</si>
  <si>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</si>
  <si>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</si>
  <si>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</si>
  <si>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</si>
  <si>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</si>
  <si>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</si>
  <si>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</si>
  <si>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</si>
  <si>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</si>
  <si>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</si>
  <si>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</si>
  <si>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</si>
  <si>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</si>
  <si>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</si>
  <si>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</si>
  <si>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</si>
  <si>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</si>
  <si>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</si>
  <si>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</si>
  <si>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</si>
  <si>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</si>
  <si>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</si>
  <si>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</si>
  <si>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</si>
  <si>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</si>
  <si>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</si>
  <si>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</si>
  <si>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</si>
  <si>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</si>
  <si>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</si>
  <si>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</si>
  <si>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</si>
  <si>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</si>
  <si>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</si>
  <si>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</si>
  <si>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</si>
  <si>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</si>
  <si>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</si>
  <si>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</si>
  <si>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</si>
  <si>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</si>
  <si>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</si>
  <si>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</si>
  <si>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</si>
  <si>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</si>
  <si>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</si>
  <si>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</si>
  <si>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</si>
  <si>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</si>
  <si>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</si>
  <si>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</si>
  <si>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</si>
  <si>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</si>
  <si>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</si>
  <si>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</si>
  <si>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</si>
  <si>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</si>
  <si>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</si>
  <si>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</si>
  <si>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</si>
  <si>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</si>
  <si>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</si>
  <si>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</si>
  <si>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</si>
  <si>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</si>
  <si>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</si>
  <si>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</si>
  <si>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</si>
  <si>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</si>
  <si>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</si>
  <si>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</si>
  <si>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</si>
  <si>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</si>
  <si>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</si>
  <si>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</si>
  <si>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</si>
  <si>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</si>
  <si>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</si>
  <si>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</si>
  <si>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</si>
  <si>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</si>
  <si>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</si>
  <si>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</si>
  <si>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</si>
  <si>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</si>
  <si>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</si>
  <si>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</si>
  <si>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</si>
  <si>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</si>
  <si>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</si>
  <si>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</si>
  <si>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</si>
  <si>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</si>
  <si>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</si>
  <si>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</si>
  <si>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</si>
  <si>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</si>
  <si>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</si>
  <si>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</si>
  <si>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</si>
  <si>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</si>
  <si>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</si>
  <si>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</si>
  <si>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</si>
  <si>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</si>
  <si>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</si>
  <si>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</si>
  <si>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</si>
  <si>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</si>
  <si>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</si>
  <si>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</si>
  <si>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</si>
  <si>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</si>
  <si>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</si>
  <si>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</si>
  <si>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</si>
  <si>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</si>
  <si>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</si>
  <si>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</si>
  <si>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</si>
  <si>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</si>
  <si>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</si>
  <si>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</si>
  <si>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</si>
  <si>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</si>
  <si>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</si>
  <si>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</si>
  <si>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</si>
  <si>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</si>
  <si>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</si>
  <si>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</si>
  <si>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</si>
  <si>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</si>
  <si>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</si>
  <si>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</si>
  <si>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</si>
  <si>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</si>
  <si>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</si>
  <si>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</si>
  <si>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</si>
  <si>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</si>
  <si>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</si>
  <si>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</si>
  <si>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</si>
  <si>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</si>
  <si>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</si>
  <si>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</si>
  <si>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</si>
  <si>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</si>
  <si>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</si>
  <si>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</si>
  <si>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</si>
  <si>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</si>
  <si>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</si>
  <si>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</si>
  <si>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</si>
  <si>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</si>
  <si>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</si>
  <si>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</si>
  <si>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</si>
  <si>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</si>
  <si>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</si>
  <si>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</si>
  <si>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</si>
  <si>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</si>
  <si>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</si>
  <si>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</si>
  <si>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</si>
  <si>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</si>
  <si>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</si>
  <si>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</si>
  <si>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</si>
  <si>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</si>
  <si>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</si>
  <si>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</si>
  <si>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</si>
  <si>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</si>
  <si>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</si>
  <si>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</si>
  <si>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</si>
  <si>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</si>
  <si>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</si>
  <si>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</si>
  <si>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</si>
  <si>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</si>
  <si>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</si>
  <si>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</si>
  <si>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</si>
  <si>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</si>
  <si>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</si>
  <si>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</si>
  <si>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</si>
  <si>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</si>
  <si>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</si>
  <si>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</si>
  <si>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</si>
  <si>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</si>
  <si>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</si>
  <si>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</si>
  <si>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</si>
  <si>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</si>
  <si>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</si>
  <si>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</si>
  <si>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</si>
  <si>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</si>
  <si>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</si>
  <si>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</si>
  <si>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</si>
  <si>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</si>
  <si>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</si>
  <si>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</si>
  <si>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</si>
  <si>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</si>
  <si>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</si>
  <si>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</si>
  <si>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</si>
  <si>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</si>
  <si>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</si>
  <si>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</si>
  <si>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</si>
  <si>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</si>
  <si>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</si>
  <si>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</si>
  <si>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</si>
  <si>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</si>
  <si>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</si>
  <si>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</si>
  <si>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</si>
  <si>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</si>
  <si>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</si>
  <si>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</si>
  <si>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</si>
  <si>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</si>
  <si>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</si>
  <si>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</si>
  <si>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</si>
  <si>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</si>
  <si>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</si>
  <si>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</si>
  <si>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</si>
  <si>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</si>
  <si>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</si>
  <si>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</si>
  <si>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</si>
  <si>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</si>
  <si>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</si>
  <si>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</si>
  <si>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</si>
  <si>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</si>
  <si>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</si>
  <si>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</si>
  <si>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</si>
  <si>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</si>
  <si>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</si>
  <si>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</si>
  <si>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</si>
  <si>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</si>
  <si>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</si>
  <si>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</si>
  <si>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</si>
  <si>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</si>
  <si>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</si>
  <si>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</si>
  <si>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</si>
  <si>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</si>
  <si>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</si>
  <si>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</si>
  <si>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</si>
  <si>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</si>
  <si>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</si>
  <si>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</si>
  <si>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</si>
  <si>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</si>
  <si>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</si>
  <si>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</si>
  <si>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</si>
  <si>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</si>
  <si>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</si>
  <si>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</si>
  <si>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</si>
  <si>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</si>
  <si>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</si>
  <si>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</si>
  <si>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</si>
  <si>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</si>
  <si>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</si>
  <si>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</si>
  <si>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</si>
  <si>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</si>
  <si>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</si>
  <si>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</si>
  <si>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</si>
  <si>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</si>
  <si>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</si>
  <si>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</si>
  <si>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</si>
  <si>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</si>
  <si>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</si>
  <si>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</si>
  <si>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</si>
  <si>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</si>
  <si>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</si>
  <si>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</si>
  <si>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</si>
  <si>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</si>
  <si>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</si>
  <si>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</si>
  <si>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</si>
  <si>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</si>
  <si>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</si>
  <si>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</si>
  <si>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</si>
  <si>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</si>
  <si>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</si>
  <si>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</si>
  <si>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</si>
  <si>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</si>
  <si>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</si>
  <si>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</si>
  <si>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</si>
  <si>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</si>
  <si>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</si>
  <si>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</si>
  <si>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</si>
  <si>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</si>
  <si>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</si>
  <si>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</si>
  <si>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</si>
  <si>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</si>
  <si>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</si>
  <si>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</si>
  <si>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</si>
  <si>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</si>
  <si>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</si>
  <si>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</si>
  <si>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</si>
  <si>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</si>
  <si>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</si>
  <si>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</si>
  <si>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</si>
  <si>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</si>
  <si>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</si>
  <si>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</si>
  <si>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</si>
  <si>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</si>
  <si>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</si>
  <si>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</si>
  <si>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</si>
  <si>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</si>
  <si>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</si>
  <si>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</si>
  <si>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</si>
  <si>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</si>
  <si>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</si>
  <si>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</si>
  <si>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</si>
  <si>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</si>
  <si>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</si>
  <si>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</si>
  <si>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</si>
  <si>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</si>
  <si>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</si>
  <si>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</si>
  <si>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</si>
  <si>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</si>
  <si>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</si>
  <si>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</si>
  <si>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</si>
  <si>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</si>
  <si>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</si>
  <si>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</si>
  <si>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</si>
  <si>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</si>
  <si>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</si>
  <si>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</si>
  <si>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</si>
  <si>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</si>
  <si>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</si>
  <si>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</si>
  <si>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</si>
  <si>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</si>
  <si>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</si>
  <si>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</si>
  <si>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</si>
  <si>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</si>
  <si>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</si>
  <si>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Deep Thought</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</si>
  <si>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</si>
  <si>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</si>
  <si>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</si>
  <si>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</si>
  <si>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</si>
  <si>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</si>
  <si>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</si>
  <si>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</si>
  <si>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</si>
  <si>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</si>
  <si>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</si>
  <si>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</si>
  <si>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</si>
  <si>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</si>
  <si>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</si>
  <si>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</si>
  <si>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</si>
  <si>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</si>
  <si>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</si>
  <si>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</si>
  <si>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</si>
  <si>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</si>
  <si>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</si>
  <si>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</si>
  <si>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</si>
  <si>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</si>
  <si>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</si>
  <si>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</si>
  <si>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</si>
  <si>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</si>
  <si>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</si>
  <si>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</si>
  <si>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</si>
  <si>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</si>
  <si>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</si>
  <si>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</si>
  <si>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</si>
  <si>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</si>
  <si>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</si>
  <si>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</si>
  <si>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</si>
  <si>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</si>
  <si>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</si>
  <si>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</si>
  <si>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</si>
  <si>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</si>
  <si>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</si>
  <si>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</si>
  <si>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</si>
  <si>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</si>
  <si>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</si>
  <si>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</si>
  <si>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</si>
  <si>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</si>
  <si>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</si>
  <si>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</si>
  <si>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</si>
  <si>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</si>
  <si>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</si>
  <si>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</si>
  <si>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</si>
  <si>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</si>
  <si>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</si>
  <si>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</si>
  <si>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</si>
  <si>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</si>
  <si>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</si>
  <si>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</si>
  <si>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</si>
  <si>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</si>
  <si>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</si>
  <si>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</si>
  <si>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</si>
  <si>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</si>
  <si>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</si>
  <si>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</si>
  <si>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</si>
  <si>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</si>
  <si>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</si>
  <si>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</si>
  <si>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</si>
  <si>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</si>
  <si>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</si>
  <si>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</si>
  <si>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</si>
  <si>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</si>
  <si>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</si>
  <si>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</si>
  <si>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</si>
  <si>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</si>
  <si>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</si>
  <si>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</si>
  <si>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</si>
  <si>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</si>
  <si>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</si>
  <si>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</si>
  <si>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</si>
  <si>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</si>
  <si>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</si>
  <si>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</si>
  <si>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</si>
  <si>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</si>
  <si>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</si>
  <si>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</si>
  <si>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</si>
  <si>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</si>
  <si>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</si>
  <si>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</si>
  <si>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</si>
  <si>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</si>
  <si>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</si>
  <si>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</si>
  <si>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</si>
  <si>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</si>
  <si>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</si>
  <si>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</si>
  <si>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</si>
  <si>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</si>
  <si>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</si>
  <si>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</si>
  <si>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</si>
  <si>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</si>
  <si>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</si>
  <si>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</si>
  <si>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</si>
  <si>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</si>
  <si>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</si>
  <si>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</si>
  <si>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</si>
  <si>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</si>
  <si>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</si>
  <si>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</si>
  <si>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</si>
  <si>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</si>
  <si>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</si>
  <si>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</si>
  <si>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</si>
  <si>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</si>
  <si>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</si>
  <si>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</si>
  <si>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</si>
  <si>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</si>
  <si>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</si>
  <si>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</si>
  <si>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</si>
  <si>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</si>
  <si>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</si>
  <si>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</si>
  <si>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</si>
  <si>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</si>
  <si>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</si>
  <si>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</si>
  <si>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</si>
  <si>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</si>
  <si>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</si>
  <si>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</si>
  <si>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</si>
  <si>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</si>
  <si>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</si>
  <si>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</si>
  <si>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</si>
  <si>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</si>
  <si>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</si>
  <si>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</si>
  <si>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</si>
  <si>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</si>
  <si>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</si>
  <si>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</si>
  <si>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</si>
  <si>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</si>
  <si>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</si>
  <si>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</si>
  <si>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</si>
  <si>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</si>
  <si>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</si>
  <si>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</si>
  <si>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</si>
  <si>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</si>
  <si>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</si>
  <si>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</si>
  <si>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</si>
  <si>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</si>
  <si>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</si>
  <si>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</si>
  <si>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</si>
  <si>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</si>
  <si>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</si>
  <si>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</si>
  <si>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</si>
  <si>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</si>
  <si>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</si>
  <si>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</si>
  <si>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</si>
  <si>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</si>
  <si>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</si>
  <si>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</si>
  <si>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</si>
  <si>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</si>
  <si>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</si>
  <si>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</si>
  <si>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</si>
  <si>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</si>
  <si>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</si>
  <si>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</si>
  <si>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</si>
  <si>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</si>
  <si>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</si>
  <si>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</si>
  <si>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</si>
  <si>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</si>
  <si>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</si>
  <si>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</si>
  <si>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</si>
  <si>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</si>
  <si>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</si>
  <si>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</si>
  <si>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</si>
  <si>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</si>
  <si>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</si>
  <si>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</si>
  <si>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</si>
  <si>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</si>
  <si>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</si>
  <si>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</si>
  <si>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</si>
  <si>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</si>
  <si>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</si>
  <si>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</si>
  <si>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</si>
  <si>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</si>
  <si>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</si>
  <si>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</si>
  <si>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</si>
  <si>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</si>
  <si>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</si>
  <si>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</si>
  <si>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</si>
  <si>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</si>
  <si>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</si>
  <si>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</si>
  <si>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</si>
  <si>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</si>
  <si>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</si>
  <si>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</si>
  <si>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</si>
  <si>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</si>
  <si>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</si>
  <si>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</si>
  <si>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</si>
  <si>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</si>
  <si>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</si>
  <si>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</si>
  <si>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</si>
  <si>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</si>
  <si>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</si>
  <si>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</si>
  <si>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</si>
  <si>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</si>
  <si>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</si>
  <si>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</si>
  <si>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</si>
  <si>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</si>
  <si>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</si>
  <si>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</si>
  <si>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</si>
  <si>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</si>
  <si>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</si>
  <si>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</si>
  <si>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</si>
  <si>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</si>
  <si>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</si>
  <si>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</si>
  <si>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</si>
  <si>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</si>
  <si>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</si>
  <si>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</si>
  <si>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</si>
  <si>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</si>
  <si>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</si>
  <si>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</si>
  <si>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</si>
  <si>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</si>
  <si>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</si>
  <si>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</si>
  <si>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</si>
  <si>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</si>
  <si>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</si>
  <si>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</si>
  <si>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</si>
  <si>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</si>
  <si>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s&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</si>
  <si>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</si>
  <si>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</si>
  <si>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</si>
  <si>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mera&lt;/resname&gt;&lt;solutions&gt;&lt;solution&gt;&lt;tongue&gt;de&lt;/tongue&gt;&lt;word&gt;Kamera&lt;/word&gt;&lt;/solution&gt;&lt;solution&gt;&lt;tongue&gt;en&lt;/tongue&gt;&lt;word&gt;camera&lt;/word&gt;&lt;/solution&gt;&lt;/solutions&gt;&lt;author&gt;&lt;name&gt;OpenClips&lt;/name&gt;&lt;source&gt;http://pixabay.com/de/kamera-cctv-sicherheit-cam-156730/&lt;/source&gt;&lt;license&gt;CC0 Public Domain&lt;/license&gt;&lt;title&gt;kamera&lt;/title&gt;&lt;extras&gt;&lt;/extras&gt;&lt;/author&gt;&lt;/image&gt;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</si>
  <si>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</si>
  <si>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</si>
  <si>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</si>
  <si>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</si>
  <si>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</si>
  <si>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</si>
  <si>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</si>
  <si>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</si>
  <si>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</si>
  <si>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</si>
  <si>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</si>
  <si>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</si>
  <si>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</si>
  <si>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</si>
  <si>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</si>
  <si>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</si>
  <si>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</si>
  <si>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</si>
  <si>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</si>
  <si>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</si>
  <si>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</si>
  <si>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</si>
  <si>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</si>
  <si>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</si>
  <si>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</si>
  <si>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</si>
  <si>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</si>
  <si>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</si>
  <si>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</si>
  <si>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</si>
  <si>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</si>
  <si>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</si>
  <si>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</si>
  <si>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</si>
  <si>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</si>
  <si>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</si>
  <si>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the&lt;/resname&gt;&lt;solutions&gt;&lt;solution&gt;&lt;tongue&gt;de&lt;/tongue&gt;&lt;word&gt;Mathematik&lt;/word&gt;&lt;/solution&gt;&lt;solution&gt;&lt;tongue&gt;en&lt;/tongue&gt;&lt;word&gt;maths&lt;/word&gt;&lt;/solution&gt;&lt;/solutions&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</si>
  <si>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</si>
  <si>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</si>
  <si>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</si>
  <si>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</si>
  <si>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</si>
  <si>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</si>
  <si>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</si>
  <si>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</si>
  <si>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</si>
  <si>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</si>
  <si>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</si>
  <si>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</si>
  <si>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</si>
  <si>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</si>
  <si>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</si>
  <si>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</si>
  <si>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</si>
  <si>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</si>
  <si>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</si>
  <si>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</si>
  <si>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</si>
  <si>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</si>
  <si>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</si>
  <si>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</si>
  <si>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</si>
  <si>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</si>
  <si>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</si>
  <si>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</si>
  <si>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</si>
  <si>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</si>
  <si>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</si>
  <si>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</si>
  <si>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</si>
  <si>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</si>
  <si>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</si>
  <si>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</si>
  <si>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</si>
  <si>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</si>
  <si>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</si>
  <si>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</si>
  <si>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</si>
  <si>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</si>
  <si>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</si>
  <si>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</si>
  <si>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</si>
  <si>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</si>
  <si>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</si>
  <si>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</si>
  <si>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</si>
  <si>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</si>
  <si>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</si>
  <si>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</si>
  <si>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</si>
  <si>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</si>
  <si>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</si>
  <si>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</si>
  <si>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</si>
  <si>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</si>
  <si>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</si>
  <si>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</si>
  <si>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</si>
  <si>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</si>
  <si>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</si>
  <si>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</si>
  <si>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</si>
  <si>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</si>
  <si>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</si>
  <si>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</si>
  <si>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</si>
  <si>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</si>
  <si>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</si>
  <si>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</si>
  <si>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</si>
  <si>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</si>
  <si>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</si>
  <si>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</si>
  <si>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</si>
  <si>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</si>
  <si>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</si>
  <si>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</si>
  <si>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</si>
  <si>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</si>
  <si>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</si>
  <si>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</si>
  <si>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herbst&lt;/resname&gt;&lt;solutions&gt;&lt;solution&gt;&lt;tongue&gt;de&lt;/tongue&gt;&lt;word&gt;Herbst&lt;/word&gt;&lt;word&gt;Laub&lt;/word&gt;&lt;/solution&gt;&lt;solution&gt;&lt;tongue&gt;en&lt;/tongue&gt;&lt;word&gt;autumn&lt;/word&gt;&lt;word&gt;leaves&lt;/word&gt;&lt;/solution&gt;&lt;/solutions&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</si>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</sst>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5"/>
    <tableColumn id="3" name="Bildtitel" dataDxfId="24">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3"/>
    <tableColumn id="5" name="Quelle" dataDxfId="22" dataCellStyle="Link"/>
    <tableColumn id="6" name="Titel/Modi" dataDxfId="21"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4"/>
    <tableColumn id="3" name="ggf. Bildtitel" dataDxfId="13">
      <calculatedColumnFormula>Tabelle14[[#This Row],[Dateiname]]</calculatedColumnFormula>
    </tableColumn>
    <tableColumn id="4" name="Lizenzname" dataDxfId="12"/>
    <tableColumn id="5" name="Quelle" dataDxfId="11" dataCellStyle="Link"/>
    <tableColumn id="6" name="TitelModi" dataDxfId="10"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5">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Englisch]],";","&lt;/word&gt;&lt;word&gt;")&amp;"&lt;/word&gt;&lt;/solution&gt;&lt;/solutions&gt;"</calculatedColumnFormula>
    </tableColumn>
    <tableColumn id="9" name="AE" dataDxfId="4">
      <calculatedColumnFormula>IF(ISTEXT(Tabelle1[[#This Row],[Am.Englisch]]),"&lt;solutions&gt;&lt;solution&gt;&lt;tongue&gt;en-us&lt;/tongue&gt;&lt;word&gt;"&amp;SUBSTITUTE(Tabelle1[[#This Row],[Am.Englisch]],";","&lt;/word&gt;&lt;word&gt;")&amp;"&lt;/word&gt;&lt;/solution&gt;&lt;/solutions&gt;","")</calculatedColumnFormula>
    </tableColumn>
    <tableColumn id="4" name="Author" dataDxfId="3">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
      <calculatedColumnFormula>IF(Tabelle1[[#This Row],[Preference]]="","","&lt;riddleprefs&gt;&lt;type&gt;"&amp;SUBSTITUTE(Tabelle1[[#This Row],[Preference]],";","&lt;/type&gt;&lt;/riddleprefs&gt;&lt;riddleprefs&gt;&lt;type&gt;")&amp;"&lt;/type&gt;&lt;/riddleprefs&gt;")</calculatedColumnFormula>
    </tableColumn>
    <tableColumn id="6" name="Dislike" dataDxfId="1">
      <calculatedColumnFormula>IF(Tabelle1[[#This Row],[Refused]]="","&lt;/image&gt;","&lt;riddlerefused&gt;&lt;type&gt;"&amp;SUBSTITUTE(Tabelle1[[#This Row],[Refused]],";","&lt;/type&gt;&lt;/riddlerefused&gt;&lt;riddlerefused&gt;&lt;type&gt;")&amp;"&lt;/type&gt;&lt;/riddlerefused&gt;&lt;/image&gt;")</calculatedColumnFormula>
    </tableColumn>
    <tableColumn id="7" name="Summary" dataDxfId="0">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2" activePane="bottomLeft" state="frozen"/>
      <selection pane="bottomLeft" activeCell="H103" sqref="H103"/>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9">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9">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9">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9">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9">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9">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9">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9">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9">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2825</v>
      </c>
      <c r="G105" t="s">
        <v>2826</v>
      </c>
      <c r="I105" t="s">
        <v>569</v>
      </c>
    </row>
    <row r="106" spans="1:9">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9">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9">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row>
    <row r="109" spans="1:9">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9">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9">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9">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2515</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2824</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6" priority="16" operator="containsText" text="ß">
      <formula>NOT(ISERROR(SEARCH("ß",F1)))</formula>
    </cfRule>
  </conditionalFormatting>
  <conditionalFormatting sqref="L7 E73:E284">
    <cfRule type="cellIs" dxfId="35" priority="13" operator="equal">
      <formula>"NEU"</formula>
    </cfRule>
  </conditionalFormatting>
  <conditionalFormatting sqref="L19:L20">
    <cfRule type="cellIs" dxfId="34" priority="12" operator="equal">
      <formula>"NEU"</formula>
    </cfRule>
  </conditionalFormatting>
  <conditionalFormatting sqref="L18">
    <cfRule type="cellIs" dxfId="33" priority="9" operator="equal">
      <formula>"NEU"</formula>
    </cfRule>
  </conditionalFormatting>
  <conditionalFormatting sqref="I254:I278 I228:I252">
    <cfRule type="duplicateValues" dxfId="32" priority="6"/>
  </conditionalFormatting>
  <conditionalFormatting sqref="G227">
    <cfRule type="duplicateValues" dxfId="31" priority="5"/>
  </conditionalFormatting>
  <conditionalFormatting sqref="E1:E6 E9:E71 E285:E1048576">
    <cfRule type="cellIs" dxfId="30" priority="4" operator="equal">
      <formula>"NEU"</formula>
    </cfRule>
  </conditionalFormatting>
  <conditionalFormatting sqref="H253">
    <cfRule type="containsText" dxfId="29" priority="3" operator="containsText" text="ß">
      <formula>NOT(ISERROR(SEARCH("ß",H253)))</formula>
    </cfRule>
  </conditionalFormatting>
  <conditionalFormatting sqref="H227">
    <cfRule type="duplicateValues" dxfId="28" priority="2"/>
  </conditionalFormatting>
  <conditionalFormatting sqref="L26">
    <cfRule type="cellIs" dxfId="27" priority="1" operator="equal">
      <formula>"NEU"</formula>
    </cfRule>
  </conditionalFormatting>
  <conditionalFormatting sqref="I1:I279 J279:J1048576">
    <cfRule type="duplicateValues" dxfId="26"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2821</v>
      </c>
      <c r="G47" t="s">
        <v>2822</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2823</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3318</v>
      </c>
      <c r="G76" t="s">
        <v>1877</v>
      </c>
      <c r="I76" t="s">
        <v>3319</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2487</v>
      </c>
      <c r="B137" s="7" t="str">
        <f>Tabelle14[[#This Row],[Dateiname]]</f>
        <v>fingerabdruck</v>
      </c>
      <c r="C137" s="2" t="s">
        <v>2247</v>
      </c>
      <c r="D137" s="9" t="s">
        <v>2514</v>
      </c>
      <c r="E137" s="27"/>
      <c r="F137" t="s">
        <v>2512</v>
      </c>
      <c r="G137" t="s">
        <v>2513</v>
      </c>
      <c r="I137" t="s">
        <v>2512</v>
      </c>
    </row>
    <row r="138" spans="1:9">
      <c r="A138" s="12" t="s">
        <v>2487</v>
      </c>
      <c r="B138" s="7" t="str">
        <f>Tabelle14[[#This Row],[Dateiname]]</f>
        <v>birne</v>
      </c>
      <c r="C138" s="2" t="s">
        <v>2247</v>
      </c>
      <c r="D138" s="9" t="s">
        <v>2511</v>
      </c>
      <c r="E138" s="27"/>
      <c r="F138" t="s">
        <v>2509</v>
      </c>
      <c r="G138" t="s">
        <v>2510</v>
      </c>
      <c r="I138" t="s">
        <v>2509</v>
      </c>
    </row>
    <row r="139" spans="1:9">
      <c r="A139" s="12" t="s">
        <v>2487</v>
      </c>
      <c r="B139" s="7" t="str">
        <f>Tabelle14[[#This Row],[Dateiname]]</f>
        <v>hirsch</v>
      </c>
      <c r="C139" s="2" t="s">
        <v>2247</v>
      </c>
      <c r="D139" s="9" t="s">
        <v>2508</v>
      </c>
      <c r="E139" s="27"/>
      <c r="F139" t="s">
        <v>2506</v>
      </c>
      <c r="G139" t="s">
        <v>2507</v>
      </c>
      <c r="I139" t="s">
        <v>2506</v>
      </c>
    </row>
    <row r="140" spans="1:9">
      <c r="A140" s="12" t="s">
        <v>1811</v>
      </c>
      <c r="B140" s="7" t="str">
        <f>Tabelle14[[#This Row],[Dateiname]]</f>
        <v>villa</v>
      </c>
      <c r="C140" s="2" t="s">
        <v>2247</v>
      </c>
      <c r="D140" s="9" t="s">
        <v>2505</v>
      </c>
      <c r="E140" s="27"/>
      <c r="F140" t="s">
        <v>2504</v>
      </c>
      <c r="G140" t="s">
        <v>2504</v>
      </c>
      <c r="I140" t="s">
        <v>2504</v>
      </c>
    </row>
    <row r="141" spans="1:9">
      <c r="A141" s="12" t="s">
        <v>1175</v>
      </c>
      <c r="B141" s="7" t="str">
        <f>Tabelle14[[#This Row],[Dateiname]]</f>
        <v>mandarine</v>
      </c>
      <c r="C141" s="2" t="s">
        <v>2247</v>
      </c>
      <c r="D141" s="9" t="s">
        <v>2503</v>
      </c>
      <c r="E141" s="27"/>
      <c r="F141" t="s">
        <v>2501</v>
      </c>
      <c r="G141" t="s">
        <v>2502</v>
      </c>
      <c r="I141" t="s">
        <v>2501</v>
      </c>
    </row>
    <row r="142" spans="1:9">
      <c r="A142" s="12" t="s">
        <v>2500</v>
      </c>
      <c r="B142" s="7" t="str">
        <f>Tabelle14[[#This Row],[Dateiname]]</f>
        <v>marktplatz</v>
      </c>
      <c r="C142" s="2" t="s">
        <v>2247</v>
      </c>
      <c r="D142" s="9" t="s">
        <v>2499</v>
      </c>
      <c r="E142" s="27"/>
      <c r="F142" t="s">
        <v>2497</v>
      </c>
      <c r="G142" t="s">
        <v>2498</v>
      </c>
      <c r="I142" t="s">
        <v>2497</v>
      </c>
    </row>
    <row r="143" spans="1:9">
      <c r="A143" s="12" t="s">
        <v>1811</v>
      </c>
      <c r="B143" s="7" t="str">
        <f>Tabelle14[[#This Row],[Dateiname]]</f>
        <v>hexe</v>
      </c>
      <c r="C143" s="2" t="s">
        <v>2247</v>
      </c>
      <c r="D143" s="9" t="s">
        <v>2496</v>
      </c>
      <c r="E143" s="27"/>
      <c r="F143" t="s">
        <v>2494</v>
      </c>
      <c r="G143" t="s">
        <v>2495</v>
      </c>
      <c r="I143" t="s">
        <v>2494</v>
      </c>
    </row>
    <row r="144" spans="1:9">
      <c r="A144" s="12" t="s">
        <v>2487</v>
      </c>
      <c r="B144" s="7" t="str">
        <f>Tabelle14[[#This Row],[Dateiname]]</f>
        <v>krawatte</v>
      </c>
      <c r="C144" s="2" t="s">
        <v>2247</v>
      </c>
      <c r="D144" s="9" t="s">
        <v>2493</v>
      </c>
      <c r="E144" s="27"/>
      <c r="F144" t="s">
        <v>2491</v>
      </c>
      <c r="G144" t="s">
        <v>2492</v>
      </c>
      <c r="I144" t="s">
        <v>2491</v>
      </c>
    </row>
    <row r="145" spans="1:9">
      <c r="A145" s="12" t="s">
        <v>1585</v>
      </c>
      <c r="B145" s="7" t="str">
        <f>Tabelle14[[#This Row],[Dateiname]]</f>
        <v>tshirt</v>
      </c>
      <c r="C145" s="2" t="s">
        <v>2247</v>
      </c>
      <c r="D145" s="9" t="s">
        <v>2490</v>
      </c>
      <c r="E145" s="27"/>
      <c r="F145" t="s">
        <v>725</v>
      </c>
      <c r="G145" t="s">
        <v>725</v>
      </c>
      <c r="I145" t="s">
        <v>725</v>
      </c>
    </row>
    <row r="146" spans="1:9">
      <c r="A146" s="12" t="s">
        <v>2489</v>
      </c>
      <c r="B146" s="7" t="str">
        <f>Tabelle14[[#This Row],[Dateiname]]</f>
        <v>scheinwerfer</v>
      </c>
      <c r="C146" s="2" t="s">
        <v>2247</v>
      </c>
      <c r="D146" s="9" t="s">
        <v>2488</v>
      </c>
      <c r="E146" s="27"/>
      <c r="F146" t="s">
        <v>898</v>
      </c>
      <c r="G146" t="s">
        <v>897</v>
      </c>
      <c r="I146" t="s">
        <v>898</v>
      </c>
    </row>
    <row r="147" spans="1:9">
      <c r="A147" s="12" t="s">
        <v>2487</v>
      </c>
      <c r="B147" s="7" t="str">
        <f>Tabelle14[[#This Row],[Dateiname]]</f>
        <v>rolltreppe</v>
      </c>
      <c r="C147" s="2" t="s">
        <v>2247</v>
      </c>
      <c r="D147" s="9" t="s">
        <v>2486</v>
      </c>
      <c r="E147" s="27"/>
      <c r="F147" t="s">
        <v>2484</v>
      </c>
      <c r="G147" t="s">
        <v>2485</v>
      </c>
      <c r="I147" t="s">
        <v>2484</v>
      </c>
    </row>
    <row r="148" spans="1:9">
      <c r="A148" s="12" t="s">
        <v>2483</v>
      </c>
      <c r="B148" s="7" t="str">
        <f>Tabelle14[[#This Row],[Dateiname]]</f>
        <v>strommast</v>
      </c>
      <c r="C148" s="2" t="s">
        <v>2247</v>
      </c>
      <c r="D148" s="9" t="s">
        <v>2482</v>
      </c>
      <c r="E148" s="27"/>
      <c r="F148" t="s">
        <v>2480</v>
      </c>
      <c r="G148" t="s">
        <v>2481</v>
      </c>
      <c r="I148" t="s">
        <v>2480</v>
      </c>
    </row>
    <row r="149" spans="1:9">
      <c r="A149" s="12" t="s">
        <v>19</v>
      </c>
      <c r="B149" s="7" t="str">
        <f>Tabelle14[[#This Row],[Dateiname]]</f>
        <v>platine</v>
      </c>
      <c r="C149" s="2" t="s">
        <v>2247</v>
      </c>
      <c r="D149" s="9" t="s">
        <v>2479</v>
      </c>
      <c r="E149" s="27"/>
      <c r="F149" t="s">
        <v>2477</v>
      </c>
      <c r="G149" t="s">
        <v>2478</v>
      </c>
      <c r="I149" t="s">
        <v>2477</v>
      </c>
    </row>
    <row r="150" spans="1:9">
      <c r="A150" s="12" t="s">
        <v>1585</v>
      </c>
      <c r="B150" s="7" t="str">
        <f>Tabelle14[[#This Row],[Dateiname]]</f>
        <v>gabelstapler</v>
      </c>
      <c r="C150" s="2" t="s">
        <v>2247</v>
      </c>
      <c r="D150" s="9" t="s">
        <v>2476</v>
      </c>
      <c r="E150" s="27"/>
      <c r="F150" t="s">
        <v>2474</v>
      </c>
      <c r="G150" t="s">
        <v>2475</v>
      </c>
      <c r="I150" t="s">
        <v>2474</v>
      </c>
    </row>
    <row r="151" spans="1:9">
      <c r="A151" s="12" t="s">
        <v>2473</v>
      </c>
      <c r="B151" s="7" t="str">
        <f>Tabelle14[[#This Row],[Dateiname]]</f>
        <v>schiffsschraube</v>
      </c>
      <c r="C151" s="2" t="s">
        <v>2247</v>
      </c>
      <c r="D151" s="9" t="s">
        <v>2472</v>
      </c>
      <c r="E151" s="27"/>
      <c r="F151" t="s">
        <v>2470</v>
      </c>
      <c r="G151" t="s">
        <v>2471</v>
      </c>
      <c r="I151" t="s">
        <v>2470</v>
      </c>
    </row>
    <row r="152" spans="1:9">
      <c r="A152" s="12" t="s">
        <v>1175</v>
      </c>
      <c r="B152" s="7" t="str">
        <f>Tabelle14[[#This Row],[Dateiname]]</f>
        <v>turbine</v>
      </c>
      <c r="C152" s="2" t="s">
        <v>2247</v>
      </c>
      <c r="D152" s="9" t="s">
        <v>2977</v>
      </c>
      <c r="E152" s="27"/>
      <c r="F152" t="s">
        <v>2976</v>
      </c>
      <c r="G152" t="s">
        <v>2975</v>
      </c>
      <c r="I152" t="s">
        <v>2975</v>
      </c>
    </row>
    <row r="153" spans="1:9">
      <c r="A153" s="12" t="s">
        <v>19</v>
      </c>
      <c r="B153" s="7" t="str">
        <f>Tabelle14[[#This Row],[Dateiname]]</f>
        <v>windrad</v>
      </c>
      <c r="C153" s="2" t="s">
        <v>2247</v>
      </c>
      <c r="D153" s="9" t="s">
        <v>2974</v>
      </c>
      <c r="E153" s="27"/>
      <c r="F153" t="s">
        <v>2973</v>
      </c>
      <c r="G153" t="s">
        <v>2972</v>
      </c>
      <c r="I153" t="s">
        <v>2971</v>
      </c>
    </row>
    <row r="154" spans="1:9">
      <c r="A154" s="12" t="s">
        <v>1811</v>
      </c>
      <c r="B154" s="7" t="str">
        <f>Tabelle14[[#This Row],[Dateiname]]</f>
        <v>energie</v>
      </c>
      <c r="C154" s="2" t="s">
        <v>2247</v>
      </c>
      <c r="D154" s="9" t="s">
        <v>2970</v>
      </c>
      <c r="E154" s="27"/>
      <c r="F154" t="s">
        <v>2969</v>
      </c>
      <c r="G154" t="s">
        <v>2968</v>
      </c>
      <c r="I154" t="s">
        <v>2967</v>
      </c>
    </row>
    <row r="155" spans="1:9">
      <c r="A155" s="12" t="s">
        <v>1585</v>
      </c>
      <c r="B155" s="7" t="str">
        <f>Tabelle14[[#This Row],[Dateiname]]</f>
        <v>raffinerie</v>
      </c>
      <c r="C155" s="2" t="s">
        <v>2247</v>
      </c>
      <c r="D155" s="9" t="s">
        <v>2966</v>
      </c>
      <c r="E155" s="27"/>
      <c r="F155" t="s">
        <v>2965</v>
      </c>
      <c r="G155" t="s">
        <v>2964</v>
      </c>
      <c r="I155" t="s">
        <v>2963</v>
      </c>
    </row>
    <row r="156" spans="1:9">
      <c r="A156" s="12" t="s">
        <v>1585</v>
      </c>
      <c r="B156" s="7" t="str">
        <f>Tabelle14[[#This Row],[Dateiname]]</f>
        <v>bohrinsel</v>
      </c>
      <c r="C156" s="2" t="s">
        <v>2247</v>
      </c>
      <c r="D156" s="9" t="s">
        <v>2962</v>
      </c>
      <c r="E156" s="27"/>
      <c r="F156" t="s">
        <v>2960</v>
      </c>
      <c r="G156" t="s">
        <v>2961</v>
      </c>
      <c r="I156" t="s">
        <v>2960</v>
      </c>
    </row>
    <row r="157" spans="1:9">
      <c r="A157" s="12" t="s">
        <v>2959</v>
      </c>
      <c r="B157" s="7" t="str">
        <f>Tabelle14[[#This Row],[Dateiname]]</f>
        <v>laser</v>
      </c>
      <c r="C157" s="2" t="s">
        <v>2247</v>
      </c>
      <c r="D157" s="9" t="s">
        <v>2958</v>
      </c>
      <c r="E157" s="27"/>
      <c r="F157" t="s">
        <v>2957</v>
      </c>
      <c r="G157" t="s">
        <v>2956</v>
      </c>
      <c r="I157" t="s">
        <v>2956</v>
      </c>
    </row>
    <row r="158" spans="1:9">
      <c r="A158" s="12" t="s">
        <v>865</v>
      </c>
      <c r="B158" s="7" t="str">
        <f>Tabelle14[[#This Row],[Dateiname]]</f>
        <v>wolf</v>
      </c>
      <c r="C158" s="2" t="s">
        <v>2247</v>
      </c>
      <c r="D158" s="9" t="s">
        <v>2955</v>
      </c>
      <c r="E158" s="27"/>
      <c r="F158" t="s">
        <v>2954</v>
      </c>
      <c r="G158" t="s">
        <v>2953</v>
      </c>
      <c r="I158" t="s">
        <v>2953</v>
      </c>
    </row>
    <row r="159" spans="1:9">
      <c r="A159" s="12" t="s">
        <v>1175</v>
      </c>
      <c r="B159" s="7" t="str">
        <f>Tabelle14[[#This Row],[Dateiname]]</f>
        <v>tannenzapfen</v>
      </c>
      <c r="C159" s="2" t="s">
        <v>2247</v>
      </c>
      <c r="D159" s="9" t="s">
        <v>2952</v>
      </c>
      <c r="E159" s="27"/>
      <c r="F159" t="s">
        <v>2951</v>
      </c>
      <c r="G159" t="s">
        <v>2950</v>
      </c>
      <c r="I159" t="s">
        <v>2949</v>
      </c>
    </row>
    <row r="160" spans="1:9">
      <c r="A160" s="12" t="s">
        <v>865</v>
      </c>
      <c r="B160" s="7" t="str">
        <f>Tabelle14[[#This Row],[Dateiname]]</f>
        <v>pentagon</v>
      </c>
      <c r="C160" s="2" t="s">
        <v>2247</v>
      </c>
      <c r="D160" s="9" t="s">
        <v>2948</v>
      </c>
      <c r="E160" s="27"/>
      <c r="F160" t="s">
        <v>2947</v>
      </c>
      <c r="G160" t="s">
        <v>2946</v>
      </c>
      <c r="I160" t="s">
        <v>2946</v>
      </c>
    </row>
    <row r="161" spans="1:9">
      <c r="A161" s="12" t="s">
        <v>2945</v>
      </c>
      <c r="B161" s="7" t="str">
        <f>Tabelle14[[#This Row],[Dateiname]]</f>
        <v>seifenblase</v>
      </c>
      <c r="C161" s="2" t="s">
        <v>2247</v>
      </c>
      <c r="D161" s="9" t="s">
        <v>2944</v>
      </c>
      <c r="E161" s="27"/>
      <c r="F161" t="s">
        <v>2942</v>
      </c>
      <c r="G161" t="s">
        <v>2943</v>
      </c>
      <c r="I161" t="s">
        <v>2942</v>
      </c>
    </row>
    <row r="162" spans="1:9">
      <c r="A162" s="12" t="s">
        <v>1811</v>
      </c>
      <c r="B162" s="7" t="str">
        <f>Tabelle14[[#This Row],[Dateiname]]</f>
        <v>koffer</v>
      </c>
      <c r="C162" s="2" t="s">
        <v>2247</v>
      </c>
      <c r="D162" s="9" t="s">
        <v>2941</v>
      </c>
      <c r="E162" s="27"/>
      <c r="F162" t="s">
        <v>2939</v>
      </c>
      <c r="G162" t="s">
        <v>2940</v>
      </c>
      <c r="I162" t="s">
        <v>2939</v>
      </c>
    </row>
    <row r="163" spans="1:9">
      <c r="A163" s="12" t="s">
        <v>2938</v>
      </c>
      <c r="B163" s="7" t="str">
        <f>Tabelle14[[#This Row],[Dateiname]]</f>
        <v>eule</v>
      </c>
      <c r="C163" s="2" t="s">
        <v>2247</v>
      </c>
      <c r="D163" s="9" t="s">
        <v>2937</v>
      </c>
      <c r="E163" s="27"/>
      <c r="F163" t="s">
        <v>1056</v>
      </c>
      <c r="G163" t="s">
        <v>1055</v>
      </c>
      <c r="I163" t="s">
        <v>1056</v>
      </c>
    </row>
    <row r="164" spans="1:9">
      <c r="A164" s="12" t="s">
        <v>19</v>
      </c>
      <c r="B164" s="7" t="str">
        <f>Tabelle14[[#This Row],[Dateiname]]</f>
        <v>maerchen</v>
      </c>
      <c r="C164" s="2" t="s">
        <v>2247</v>
      </c>
      <c r="D164" s="9" t="s">
        <v>2936</v>
      </c>
      <c r="E164" s="27"/>
      <c r="F164" t="s">
        <v>2935</v>
      </c>
      <c r="G164" t="s">
        <v>2934</v>
      </c>
      <c r="I164" t="s">
        <v>2933</v>
      </c>
    </row>
    <row r="165" spans="1:9">
      <c r="A165" s="12" t="s">
        <v>1811</v>
      </c>
      <c r="B165" s="7" t="str">
        <f>Tabelle14[[#This Row],[Dateiname]]</f>
        <v>labyrinth</v>
      </c>
      <c r="C165" s="2" t="s">
        <v>2247</v>
      </c>
      <c r="D165" s="9" t="s">
        <v>2932</v>
      </c>
      <c r="E165" s="27"/>
      <c r="F165" t="s">
        <v>2931</v>
      </c>
      <c r="G165" t="s">
        <v>2931</v>
      </c>
      <c r="I165" t="s">
        <v>2931</v>
      </c>
    </row>
    <row r="166" spans="1:9">
      <c r="A166" s="12" t="s">
        <v>1585</v>
      </c>
      <c r="B166" s="7" t="str">
        <f>Tabelle14[[#This Row],[Dateiname]]</f>
        <v>becher</v>
      </c>
      <c r="C166" s="2" t="s">
        <v>2247</v>
      </c>
      <c r="D166" s="9" t="s">
        <v>2930</v>
      </c>
      <c r="E166" s="27"/>
      <c r="F166" t="s">
        <v>2929</v>
      </c>
      <c r="G166" t="s">
        <v>2822</v>
      </c>
      <c r="I166" t="s">
        <v>2929</v>
      </c>
    </row>
    <row r="167" spans="1:9">
      <c r="A167" s="12" t="s">
        <v>2928</v>
      </c>
      <c r="B167" s="7" t="str">
        <f>Tabelle14[[#This Row],[Dateiname]]</f>
        <v>glas</v>
      </c>
      <c r="C167" s="2" t="s">
        <v>2247</v>
      </c>
      <c r="D167" s="9" t="s">
        <v>2927</v>
      </c>
      <c r="E167" s="27"/>
      <c r="F167" t="s">
        <v>2925</v>
      </c>
      <c r="G167" t="s">
        <v>2926</v>
      </c>
      <c r="I167" t="s">
        <v>2925</v>
      </c>
    </row>
    <row r="168" spans="1:9">
      <c r="A168" s="12" t="s">
        <v>2924</v>
      </c>
      <c r="B168" s="7" t="str">
        <f>Tabelle14[[#This Row],[Dateiname]]</f>
        <v>information</v>
      </c>
      <c r="C168" s="2" t="s">
        <v>2247</v>
      </c>
      <c r="D168" s="9" t="s">
        <v>2923</v>
      </c>
      <c r="E168" s="27"/>
      <c r="F168" t="s">
        <v>2922</v>
      </c>
      <c r="G168" t="s">
        <v>2922</v>
      </c>
      <c r="I168" t="s">
        <v>2922</v>
      </c>
    </row>
    <row r="169" spans="1:9">
      <c r="A169" s="12" t="s">
        <v>1811</v>
      </c>
      <c r="B169" s="7" t="str">
        <f>Tabelle14[[#This Row],[Dateiname]]</f>
        <v>ventilator</v>
      </c>
      <c r="C169" s="2" t="s">
        <v>2247</v>
      </c>
      <c r="D169" s="9" t="s">
        <v>2921</v>
      </c>
      <c r="E169" s="27"/>
      <c r="F169" t="s">
        <v>2920</v>
      </c>
      <c r="G169" t="s">
        <v>2920</v>
      </c>
      <c r="I169" t="s">
        <v>2920</v>
      </c>
    </row>
    <row r="170" spans="1:9">
      <c r="A170" s="12" t="s">
        <v>2919</v>
      </c>
      <c r="B170" s="7" t="str">
        <f>Tabelle14[[#This Row],[Dateiname]]</f>
        <v>ohrringe</v>
      </c>
      <c r="C170" s="2" t="s">
        <v>2247</v>
      </c>
      <c r="D170" s="9" t="s">
        <v>2918</v>
      </c>
      <c r="E170" s="27"/>
      <c r="F170" t="s">
        <v>2916</v>
      </c>
      <c r="G170" t="s">
        <v>2917</v>
      </c>
      <c r="I170" t="s">
        <v>2916</v>
      </c>
    </row>
    <row r="171" spans="1:9">
      <c r="A171" s="12" t="s">
        <v>2915</v>
      </c>
      <c r="B171" s="7" t="str">
        <f>Tabelle14[[#This Row],[Dateiname]]</f>
        <v>mosaik</v>
      </c>
      <c r="C171" s="2" t="s">
        <v>2247</v>
      </c>
      <c r="D171" s="9" t="s">
        <v>2914</v>
      </c>
      <c r="E171" s="27"/>
      <c r="F171" t="s">
        <v>2913</v>
      </c>
      <c r="G171" t="s">
        <v>2912</v>
      </c>
      <c r="I171" t="s">
        <v>2911</v>
      </c>
    </row>
    <row r="172" spans="1:9">
      <c r="A172" s="12" t="s">
        <v>2910</v>
      </c>
      <c r="B172" s="7" t="str">
        <f>Tabelle14[[#This Row],[Dateiname]]</f>
        <v>schleife</v>
      </c>
      <c r="C172" s="2" t="s">
        <v>2247</v>
      </c>
      <c r="D172" s="9" t="s">
        <v>2909</v>
      </c>
      <c r="E172" s="27"/>
      <c r="F172" t="s">
        <v>2907</v>
      </c>
      <c r="G172" t="s">
        <v>2908</v>
      </c>
      <c r="I172" t="s">
        <v>2907</v>
      </c>
    </row>
    <row r="173" spans="1:9">
      <c r="A173" s="12" t="s">
        <v>2906</v>
      </c>
      <c r="B173" s="7" t="str">
        <f>Tabelle14[[#This Row],[Dateiname]]</f>
        <v>beamer</v>
      </c>
      <c r="C173" s="2" t="s">
        <v>2247</v>
      </c>
      <c r="D173" s="9" t="s">
        <v>2905</v>
      </c>
      <c r="E173" s="27"/>
      <c r="F173" t="s">
        <v>2903</v>
      </c>
      <c r="G173" t="s">
        <v>2904</v>
      </c>
      <c r="I173" t="s">
        <v>2903</v>
      </c>
    </row>
    <row r="174" spans="1:9">
      <c r="A174" s="12" t="s">
        <v>1585</v>
      </c>
      <c r="B174" s="7" t="str">
        <f>Tabelle14[[#This Row],[Dateiname]]</f>
        <v>ohr</v>
      </c>
      <c r="C174" s="2" t="s">
        <v>2247</v>
      </c>
      <c r="D174" s="9" t="s">
        <v>2902</v>
      </c>
      <c r="E174" s="27"/>
      <c r="F174" t="s">
        <v>2900</v>
      </c>
      <c r="G174" t="s">
        <v>2901</v>
      </c>
      <c r="I174" t="s">
        <v>2900</v>
      </c>
    </row>
    <row r="175" spans="1:9">
      <c r="A175" s="12" t="s">
        <v>2899</v>
      </c>
      <c r="B175" s="7" t="str">
        <f>Tabelle14[[#This Row],[Dateiname]]</f>
        <v>nagellack</v>
      </c>
      <c r="C175" s="2" t="s">
        <v>2247</v>
      </c>
      <c r="D175" s="9" t="s">
        <v>2898</v>
      </c>
      <c r="E175" s="27"/>
      <c r="F175" t="s">
        <v>2896</v>
      </c>
      <c r="G175" t="s">
        <v>2897</v>
      </c>
      <c r="I175" t="s">
        <v>2896</v>
      </c>
    </row>
    <row r="176" spans="1:9">
      <c r="A176" s="12" t="s">
        <v>1585</v>
      </c>
      <c r="B176" s="7" t="str">
        <f>Tabelle14[[#This Row],[Dateiname]]</f>
        <v>rad</v>
      </c>
      <c r="C176" s="2" t="s">
        <v>2247</v>
      </c>
      <c r="D176" s="9" t="s">
        <v>2895</v>
      </c>
      <c r="E176" s="27"/>
      <c r="F176" t="s">
        <v>2893</v>
      </c>
      <c r="G176" t="s">
        <v>2894</v>
      </c>
      <c r="I176" t="s">
        <v>2893</v>
      </c>
    </row>
    <row r="177" spans="1:12">
      <c r="A177" s="12" t="s">
        <v>942</v>
      </c>
      <c r="B177" s="7" t="str">
        <f>Tabelle14[[#This Row],[Dateiname]]</f>
        <v>strohballen</v>
      </c>
      <c r="C177" s="2" t="s">
        <v>2247</v>
      </c>
      <c r="D177" s="9" t="s">
        <v>2892</v>
      </c>
      <c r="E177" s="27"/>
      <c r="F177" t="s">
        <v>2890</v>
      </c>
      <c r="G177" t="s">
        <v>2891</v>
      </c>
      <c r="I177" t="s">
        <v>2890</v>
      </c>
    </row>
    <row r="178" spans="1:12">
      <c r="A178" s="12" t="s">
        <v>1811</v>
      </c>
      <c r="B178" s="7" t="str">
        <f>Tabelle14[[#This Row],[Dateiname]]</f>
        <v>teufel</v>
      </c>
      <c r="C178" s="2" t="s">
        <v>2247</v>
      </c>
      <c r="D178" s="9" t="s">
        <v>2889</v>
      </c>
      <c r="E178" s="27"/>
      <c r="F178" t="s">
        <v>2887</v>
      </c>
      <c r="G178" t="s">
        <v>2888</v>
      </c>
      <c r="I178" t="s">
        <v>2887</v>
      </c>
    </row>
    <row r="179" spans="1:12">
      <c r="A179" s="12" t="s">
        <v>1811</v>
      </c>
      <c r="B179" s="7" t="str">
        <f>Tabelle14[[#This Row],[Dateiname]]</f>
        <v>zuender</v>
      </c>
      <c r="C179" s="2" t="s">
        <v>2247</v>
      </c>
      <c r="D179" s="9" t="s">
        <v>2886</v>
      </c>
      <c r="E179" s="27"/>
      <c r="F179" t="s">
        <v>2885</v>
      </c>
      <c r="G179" t="s">
        <v>2884</v>
      </c>
      <c r="I179" t="s">
        <v>2883</v>
      </c>
    </row>
    <row r="180" spans="1:12">
      <c r="A180" s="12" t="s">
        <v>2848</v>
      </c>
      <c r="B180" s="7" t="str">
        <f>Tabelle14[[#This Row],[Dateiname]]</f>
        <v>fernbedienung</v>
      </c>
      <c r="C180" s="2" t="s">
        <v>2247</v>
      </c>
      <c r="D180" s="9" t="s">
        <v>2882</v>
      </c>
      <c r="E180" s="27"/>
      <c r="F180" t="s">
        <v>2880</v>
      </c>
      <c r="G180" t="s">
        <v>2881</v>
      </c>
      <c r="I180" t="s">
        <v>2880</v>
      </c>
    </row>
    <row r="181" spans="1:12">
      <c r="A181" s="12" t="s">
        <v>2487</v>
      </c>
      <c r="B181" s="7" t="str">
        <f>Tabelle14[[#This Row],[Dateiname]]</f>
        <v>klettern</v>
      </c>
      <c r="C181" s="2" t="s">
        <v>2247</v>
      </c>
      <c r="D181" s="9" t="s">
        <v>2879</v>
      </c>
      <c r="E181" s="27"/>
      <c r="F181" t="s">
        <v>2877</v>
      </c>
      <c r="G181" t="s">
        <v>2878</v>
      </c>
      <c r="I181" t="s">
        <v>2877</v>
      </c>
    </row>
    <row r="182" spans="1:12">
      <c r="A182" s="12" t="s">
        <v>2876</v>
      </c>
      <c r="B182" s="7" t="str">
        <f>Tabelle14[[#This Row],[Dateiname]]</f>
        <v>halskette</v>
      </c>
      <c r="C182" s="2" t="s">
        <v>2247</v>
      </c>
      <c r="D182" s="9" t="s">
        <v>2875</v>
      </c>
      <c r="E182" s="27"/>
      <c r="F182" t="s">
        <v>2873</v>
      </c>
      <c r="G182" t="s">
        <v>2874</v>
      </c>
      <c r="I182" t="s">
        <v>2873</v>
      </c>
    </row>
    <row r="183" spans="1:12">
      <c r="A183" s="12" t="s">
        <v>1175</v>
      </c>
      <c r="B183" s="7" t="str">
        <f>Tabelle14[[#This Row],[Dateiname]]</f>
        <v>armband</v>
      </c>
      <c r="C183" s="2" t="s">
        <v>2247</v>
      </c>
      <c r="D183" s="9" t="s">
        <v>2872</v>
      </c>
      <c r="E183" s="27"/>
      <c r="F183" t="s">
        <v>2870</v>
      </c>
      <c r="G183" t="s">
        <v>2871</v>
      </c>
      <c r="I183" t="s">
        <v>2870</v>
      </c>
    </row>
    <row r="184" spans="1:12">
      <c r="A184" s="12" t="s">
        <v>2869</v>
      </c>
      <c r="B184" s="7" t="str">
        <f>Tabelle14[[#This Row],[Dateiname]]</f>
        <v>anhaenger</v>
      </c>
      <c r="C184" s="2" t="s">
        <v>2247</v>
      </c>
      <c r="D184" s="9" t="s">
        <v>2868</v>
      </c>
      <c r="E184" s="27"/>
      <c r="F184" t="s">
        <v>2978</v>
      </c>
      <c r="G184" s="53" t="s">
        <v>1070</v>
      </c>
      <c r="I184" t="s">
        <v>2979</v>
      </c>
      <c r="L184" t="s">
        <v>664</v>
      </c>
    </row>
    <row r="185" spans="1:12">
      <c r="A185" s="12" t="s">
        <v>2867</v>
      </c>
      <c r="B185" s="7" t="str">
        <f>Tabelle14[[#This Row],[Dateiname]]</f>
        <v>naehmaschine</v>
      </c>
      <c r="C185" s="2" t="s">
        <v>2247</v>
      </c>
      <c r="D185" s="9" t="s">
        <v>2866</v>
      </c>
      <c r="E185" s="27"/>
      <c r="F185" t="s">
        <v>2865</v>
      </c>
      <c r="G185" t="s">
        <v>2864</v>
      </c>
      <c r="I185" t="s">
        <v>2863</v>
      </c>
    </row>
    <row r="186" spans="1:12">
      <c r="A186" s="12" t="s">
        <v>1175</v>
      </c>
      <c r="B186" s="7" t="str">
        <f>Tabelle14[[#This Row],[Dateiname]]</f>
        <v>fahrradlenker</v>
      </c>
      <c r="C186" s="2" t="s">
        <v>2247</v>
      </c>
      <c r="D186" s="9" t="s">
        <v>2862</v>
      </c>
      <c r="E186" s="27"/>
      <c r="F186" t="s">
        <v>2861</v>
      </c>
      <c r="G186" t="s">
        <v>2860</v>
      </c>
      <c r="I186" t="s">
        <v>2859</v>
      </c>
      <c r="L186" t="s">
        <v>2858</v>
      </c>
    </row>
    <row r="187" spans="1:12">
      <c r="A187" s="12" t="s">
        <v>1175</v>
      </c>
      <c r="B187" s="7" t="str">
        <f>Tabelle14[[#This Row],[Dateiname]]</f>
        <v>fahrradklingel</v>
      </c>
      <c r="C187" s="2" t="s">
        <v>2247</v>
      </c>
      <c r="D187" s="9" t="s">
        <v>2857</v>
      </c>
      <c r="E187" s="27"/>
      <c r="F187" t="s">
        <v>2855</v>
      </c>
      <c r="G187" t="s">
        <v>2856</v>
      </c>
      <c r="I187" t="s">
        <v>2855</v>
      </c>
    </row>
    <row r="188" spans="1:12">
      <c r="A188" s="12" t="s">
        <v>1811</v>
      </c>
      <c r="B188" s="7" t="str">
        <f>Tabelle14[[#This Row],[Dateiname]]</f>
        <v>glocke</v>
      </c>
      <c r="C188" s="2" t="s">
        <v>2247</v>
      </c>
      <c r="D188" s="9" t="s">
        <v>2854</v>
      </c>
      <c r="E188" s="27"/>
      <c r="F188" t="s">
        <v>2852</v>
      </c>
      <c r="G188" t="s">
        <v>2853</v>
      </c>
      <c r="I188" t="s">
        <v>2852</v>
      </c>
    </row>
    <row r="189" spans="1:12">
      <c r="A189" s="12" t="s">
        <v>2851</v>
      </c>
      <c r="B189" s="7" t="str">
        <f>Tabelle14[[#This Row],[Dateiname]]</f>
        <v>bar</v>
      </c>
      <c r="C189" s="2" t="s">
        <v>2247</v>
      </c>
      <c r="D189" s="9" t="s">
        <v>2850</v>
      </c>
      <c r="E189" s="27"/>
      <c r="F189" t="s">
        <v>2849</v>
      </c>
      <c r="G189" t="s">
        <v>2849</v>
      </c>
      <c r="I189" t="s">
        <v>2849</v>
      </c>
    </row>
    <row r="190" spans="1:12">
      <c r="A190" s="12" t="s">
        <v>2848</v>
      </c>
      <c r="B190" s="7" t="str">
        <f>Tabelle14[[#This Row],[Dateiname]]</f>
        <v>stacheldraht</v>
      </c>
      <c r="C190" s="2" t="s">
        <v>2247</v>
      </c>
      <c r="D190" s="9" t="s">
        <v>2847</v>
      </c>
      <c r="E190" s="27"/>
      <c r="F190" t="s">
        <v>2844</v>
      </c>
      <c r="G190" t="s">
        <v>2846</v>
      </c>
      <c r="H190" t="s">
        <v>2845</v>
      </c>
      <c r="I190" t="s">
        <v>2844</v>
      </c>
    </row>
    <row r="191" spans="1:12">
      <c r="A191" s="12" t="s">
        <v>1585</v>
      </c>
      <c r="B191" s="7" t="str">
        <f>Tabelle14[[#This Row],[Dateiname]]</f>
        <v>handschellen</v>
      </c>
      <c r="C191" s="2" t="s">
        <v>2247</v>
      </c>
      <c r="D191" s="9" t="s">
        <v>2843</v>
      </c>
      <c r="E191" s="27"/>
      <c r="F191" t="s">
        <v>2841</v>
      </c>
      <c r="G191" t="s">
        <v>2842</v>
      </c>
      <c r="I191" t="s">
        <v>2841</v>
      </c>
    </row>
    <row r="192" spans="1:12">
      <c r="A192" s="12" t="s">
        <v>1179</v>
      </c>
      <c r="B192" s="7" t="str">
        <f>Tabelle14[[#This Row],[Dateiname]]</f>
        <v>gefaengnis</v>
      </c>
      <c r="C192" s="2" t="s">
        <v>2247</v>
      </c>
      <c r="D192" s="9" t="s">
        <v>2840</v>
      </c>
      <c r="E192" s="27"/>
      <c r="F192" t="s">
        <v>2839</v>
      </c>
      <c r="G192" t="s">
        <v>2838</v>
      </c>
      <c r="I192" t="s">
        <v>1183</v>
      </c>
    </row>
    <row r="193" spans="1:12">
      <c r="A193" s="12" t="s">
        <v>1811</v>
      </c>
      <c r="B193" s="7" t="str">
        <f>Tabelle14[[#This Row],[Dateiname]]</f>
        <v>hochspannung</v>
      </c>
      <c r="C193" s="2" t="s">
        <v>2247</v>
      </c>
      <c r="D193" s="9" t="s">
        <v>2837</v>
      </c>
      <c r="E193" s="27"/>
      <c r="F193" t="s">
        <v>2835</v>
      </c>
      <c r="G193" t="s">
        <v>2836</v>
      </c>
      <c r="I193" t="s">
        <v>2835</v>
      </c>
    </row>
    <row r="194" spans="1:12">
      <c r="A194" s="12" t="s">
        <v>1811</v>
      </c>
      <c r="B194" s="7" t="str">
        <f>Tabelle14[[#This Row],[Dateiname]]</f>
        <v>kristall</v>
      </c>
      <c r="C194" s="2" t="s">
        <v>2247</v>
      </c>
      <c r="D194" s="9" t="s">
        <v>2834</v>
      </c>
      <c r="E194" s="27"/>
      <c r="F194" t="s">
        <v>2832</v>
      </c>
      <c r="G194" t="s">
        <v>2833</v>
      </c>
      <c r="I194" t="s">
        <v>2832</v>
      </c>
    </row>
    <row r="195" spans="1:12">
      <c r="A195" s="12" t="s">
        <v>351</v>
      </c>
      <c r="B195" s="7" t="str">
        <f>Tabelle14[[#This Row],[Dateiname]]</f>
        <v>amethyst</v>
      </c>
      <c r="C195" s="2" t="s">
        <v>2247</v>
      </c>
      <c r="D195" s="9" t="s">
        <v>2831</v>
      </c>
      <c r="E195" s="27"/>
      <c r="F195" t="s">
        <v>2830</v>
      </c>
      <c r="G195" t="s">
        <v>2830</v>
      </c>
      <c r="I195" t="s">
        <v>2830</v>
      </c>
    </row>
    <row r="196" spans="1:12">
      <c r="A196" s="12" t="s">
        <v>1175</v>
      </c>
      <c r="B196" s="7" t="str">
        <f>Tabelle14[[#This Row],[Dateiname]]</f>
        <v>obsidian</v>
      </c>
      <c r="C196" s="2" t="s">
        <v>2247</v>
      </c>
      <c r="D196" s="9" t="s">
        <v>2829</v>
      </c>
      <c r="E196" s="27"/>
      <c r="F196" t="s">
        <v>2828</v>
      </c>
      <c r="G196" t="s">
        <v>2828</v>
      </c>
      <c r="I196" t="s">
        <v>2828</v>
      </c>
      <c r="K196" t="s">
        <v>2827</v>
      </c>
    </row>
    <row r="197" spans="1:12">
      <c r="A197" s="6" t="s">
        <v>6</v>
      </c>
      <c r="B197" s="7" t="str">
        <f>Tabelle14[[#This Row],[Dateiname]]</f>
        <v>prozess</v>
      </c>
      <c r="C197" s="2" t="s">
        <v>2247</v>
      </c>
      <c r="D197" s="9"/>
      <c r="E197" s="30"/>
      <c r="F197" t="s">
        <v>2987</v>
      </c>
      <c r="G197" t="s">
        <v>2988</v>
      </c>
      <c r="I197" t="s">
        <v>2987</v>
      </c>
    </row>
    <row r="198" spans="1:12">
      <c r="A198" s="99" t="s">
        <v>48</v>
      </c>
      <c r="B198" s="100" t="str">
        <f>Tabelle14[[#This Row],[Dateiname]]</f>
        <v>teppich</v>
      </c>
      <c r="C198" s="101" t="s">
        <v>2247</v>
      </c>
      <c r="D198" s="9" t="s">
        <v>2991</v>
      </c>
      <c r="E198" s="30"/>
      <c r="F198" s="54" t="s">
        <v>3186</v>
      </c>
      <c r="G198" s="54" t="s">
        <v>3187</v>
      </c>
      <c r="H198" s="54"/>
      <c r="I198" s="54" t="s">
        <v>3186</v>
      </c>
      <c r="J198" s="54"/>
      <c r="K198" s="54"/>
      <c r="L198" s="54"/>
    </row>
    <row r="199" spans="1:12">
      <c r="A199" s="99" t="s">
        <v>1811</v>
      </c>
      <c r="B199" s="100" t="str">
        <f>Tabelle14[[#This Row],[Dateiname]]</f>
        <v>feuerloescher</v>
      </c>
      <c r="C199" s="101" t="s">
        <v>2247</v>
      </c>
      <c r="D199" s="9" t="s">
        <v>2992</v>
      </c>
      <c r="E199" s="30"/>
      <c r="F199" s="54" t="s">
        <v>3188</v>
      </c>
      <c r="G199" s="54" t="s">
        <v>3189</v>
      </c>
      <c r="H199" s="54"/>
      <c r="I199" s="54" t="s">
        <v>3190</v>
      </c>
      <c r="J199" s="54"/>
      <c r="K199" s="54"/>
      <c r="L199" s="54"/>
    </row>
    <row r="200" spans="1:12">
      <c r="A200" s="99" t="s">
        <v>1621</v>
      </c>
      <c r="B200" s="100" t="str">
        <f>Tabelle14[[#This Row],[Dateiname]]</f>
        <v>waldbrand</v>
      </c>
      <c r="C200" s="101" t="s">
        <v>2247</v>
      </c>
      <c r="D200" s="9" t="s">
        <v>2993</v>
      </c>
      <c r="E200" s="30"/>
      <c r="F200" s="54" t="s">
        <v>3192</v>
      </c>
      <c r="G200" s="54" t="s">
        <v>3191</v>
      </c>
      <c r="H200" s="54"/>
      <c r="I200" s="54" t="s">
        <v>3192</v>
      </c>
      <c r="J200" s="54"/>
      <c r="K200" s="54"/>
      <c r="L200" s="54"/>
    </row>
    <row r="201" spans="1:12">
      <c r="A201" s="99" t="s">
        <v>960</v>
      </c>
      <c r="B201" s="100" t="str">
        <f>Tabelle14[[#This Row],[Dateiname]]</f>
        <v>christentum</v>
      </c>
      <c r="C201" s="101" t="s">
        <v>2247</v>
      </c>
      <c r="D201" s="9" t="s">
        <v>2994</v>
      </c>
      <c r="E201" s="30"/>
      <c r="F201" s="54" t="s">
        <v>3203</v>
      </c>
      <c r="G201" s="54" t="s">
        <v>3204</v>
      </c>
      <c r="H201" s="54"/>
      <c r="I201" s="54" t="s">
        <v>3203</v>
      </c>
      <c r="J201" s="54"/>
      <c r="K201" s="54"/>
      <c r="L201" s="54"/>
    </row>
    <row r="202" spans="1:12">
      <c r="A202" s="99" t="s">
        <v>2995</v>
      </c>
      <c r="B202" s="100" t="str">
        <f>Tabelle14[[#This Row],[Dateiname]]</f>
        <v>abdruck</v>
      </c>
      <c r="C202" s="101" t="s">
        <v>2247</v>
      </c>
      <c r="D202" s="9" t="s">
        <v>2996</v>
      </c>
      <c r="E202" s="30"/>
      <c r="F202" s="54" t="s">
        <v>3205</v>
      </c>
      <c r="G202" s="98" t="s">
        <v>3206</v>
      </c>
      <c r="H202" s="54"/>
      <c r="I202" s="54" t="s">
        <v>3205</v>
      </c>
      <c r="J202" s="54"/>
      <c r="K202" s="54"/>
      <c r="L202" s="54" t="s">
        <v>3207</v>
      </c>
    </row>
    <row r="203" spans="1:12">
      <c r="A203" s="99" t="s">
        <v>1996</v>
      </c>
      <c r="B203" s="100" t="str">
        <f>Tabelle14[[#This Row],[Dateiname]]</f>
        <v>tor</v>
      </c>
      <c r="C203" s="101" t="s">
        <v>2247</v>
      </c>
      <c r="D203" s="9" t="s">
        <v>2997</v>
      </c>
      <c r="E203" s="30"/>
      <c r="F203" s="54" t="s">
        <v>3193</v>
      </c>
      <c r="G203" s="54" t="s">
        <v>3208</v>
      </c>
      <c r="H203" s="54"/>
      <c r="I203" s="54" t="s">
        <v>3193</v>
      </c>
      <c r="J203" s="54"/>
      <c r="K203" s="54"/>
      <c r="L203" s="54"/>
    </row>
    <row r="204" spans="1:12">
      <c r="A204" s="99" t="s">
        <v>1139</v>
      </c>
      <c r="B204" s="100" t="str">
        <f>Tabelle14[[#This Row],[Dateiname]]</f>
        <v>stoeckelschuhe</v>
      </c>
      <c r="C204" s="101" t="s">
        <v>2247</v>
      </c>
      <c r="D204" s="9" t="s">
        <v>2998</v>
      </c>
      <c r="E204" s="30"/>
      <c r="F204" s="54" t="s">
        <v>3097</v>
      </c>
      <c r="G204" s="54" t="s">
        <v>3098</v>
      </c>
      <c r="H204" s="54"/>
      <c r="I204" s="54" t="s">
        <v>3209</v>
      </c>
      <c r="J204" s="54"/>
      <c r="K204" s="54"/>
      <c r="L204" s="54"/>
    </row>
    <row r="205" spans="1:12">
      <c r="A205" s="99" t="s">
        <v>2999</v>
      </c>
      <c r="B205" s="100" t="str">
        <f>Tabelle14[[#This Row],[Dateiname]]</f>
        <v>waschmaschine</v>
      </c>
      <c r="C205" s="101" t="s">
        <v>2247</v>
      </c>
      <c r="D205" s="9" t="s">
        <v>3000</v>
      </c>
      <c r="E205" s="30"/>
      <c r="F205" s="54" t="s">
        <v>3089</v>
      </c>
      <c r="G205" s="54" t="s">
        <v>3210</v>
      </c>
      <c r="H205" s="54"/>
      <c r="I205" s="54" t="s">
        <v>3194</v>
      </c>
      <c r="J205" s="54"/>
      <c r="K205" s="54"/>
      <c r="L205" s="54"/>
    </row>
    <row r="206" spans="1:12">
      <c r="A206" s="99" t="s">
        <v>1585</v>
      </c>
      <c r="B206" s="100" t="str">
        <f>Tabelle14[[#This Row],[Dateiname]]</f>
        <v>koenig</v>
      </c>
      <c r="C206" s="101" t="s">
        <v>2247</v>
      </c>
      <c r="D206" s="9" t="s">
        <v>3001</v>
      </c>
      <c r="E206" s="30"/>
      <c r="F206" s="54" t="s">
        <v>3099</v>
      </c>
      <c r="G206" s="54" t="s">
        <v>3100</v>
      </c>
      <c r="H206" s="54"/>
      <c r="I206" s="54" t="s">
        <v>3211</v>
      </c>
      <c r="J206" s="54"/>
      <c r="K206" s="54"/>
      <c r="L206" s="54"/>
    </row>
    <row r="207" spans="1:12">
      <c r="A207" s="99" t="s">
        <v>1585</v>
      </c>
      <c r="B207" s="100" t="str">
        <f>Tabelle14[[#This Row],[Dateiname]]</f>
        <v>angel</v>
      </c>
      <c r="C207" s="101" t="s">
        <v>2247</v>
      </c>
      <c r="D207" s="9" t="s">
        <v>3002</v>
      </c>
      <c r="E207" s="30"/>
      <c r="F207" s="54" t="s">
        <v>3213</v>
      </c>
      <c r="G207" s="54" t="s">
        <v>3212</v>
      </c>
      <c r="H207" s="54"/>
      <c r="I207" s="54" t="s">
        <v>3213</v>
      </c>
      <c r="J207" s="54"/>
      <c r="K207" s="54"/>
      <c r="L207" s="54"/>
    </row>
    <row r="208" spans="1:12">
      <c r="A208" s="99" t="s">
        <v>960</v>
      </c>
      <c r="B208" s="100" t="str">
        <f>Tabelle14[[#This Row],[Dateiname]]</f>
        <v>ballett</v>
      </c>
      <c r="C208" s="101" t="s">
        <v>2247</v>
      </c>
      <c r="D208" s="9" t="s">
        <v>3003</v>
      </c>
      <c r="E208" s="30"/>
      <c r="F208" s="54" t="s">
        <v>3195</v>
      </c>
      <c r="G208" s="54" t="s">
        <v>3216</v>
      </c>
      <c r="H208" s="54"/>
      <c r="I208" s="54" t="s">
        <v>3195</v>
      </c>
      <c r="J208" s="54"/>
      <c r="K208" s="54"/>
      <c r="L208" s="54"/>
    </row>
    <row r="209" spans="1:12">
      <c r="A209" s="99" t="s">
        <v>1585</v>
      </c>
      <c r="B209" s="100" t="str">
        <f>Tabelle14[[#This Row],[Dateiname]]</f>
        <v>bogen</v>
      </c>
      <c r="C209" s="101" t="s">
        <v>2247</v>
      </c>
      <c r="D209" s="9" t="s">
        <v>3004</v>
      </c>
      <c r="E209" s="30"/>
      <c r="F209" s="54" t="s">
        <v>3214</v>
      </c>
      <c r="G209" s="54" t="s">
        <v>3215</v>
      </c>
      <c r="H209" s="54"/>
      <c r="I209" s="54" t="s">
        <v>3214</v>
      </c>
      <c r="J209" s="54"/>
      <c r="K209" s="54"/>
      <c r="L209" s="54"/>
    </row>
    <row r="210" spans="1:12">
      <c r="A210" s="99" t="s">
        <v>3005</v>
      </c>
      <c r="B210" s="100" t="str">
        <f>Tabelle14[[#This Row],[Dateiname]]</f>
        <v>basilikum</v>
      </c>
      <c r="C210" s="101" t="s">
        <v>2247</v>
      </c>
      <c r="D210" s="9" t="s">
        <v>3006</v>
      </c>
      <c r="E210" s="30"/>
      <c r="F210" s="54" t="s">
        <v>3196</v>
      </c>
      <c r="G210" s="54" t="s">
        <v>3217</v>
      </c>
      <c r="H210" s="54"/>
      <c r="I210" s="54" t="s">
        <v>3196</v>
      </c>
      <c r="J210" s="54"/>
      <c r="K210" s="54"/>
      <c r="L210" s="54"/>
    </row>
    <row r="211" spans="1:12">
      <c r="A211" s="99" t="s">
        <v>48</v>
      </c>
      <c r="B211" s="100" t="str">
        <f>Tabelle14[[#This Row],[Dateiname]]</f>
        <v>riechen</v>
      </c>
      <c r="C211" s="101" t="s">
        <v>2247</v>
      </c>
      <c r="D211" s="9" t="s">
        <v>3007</v>
      </c>
      <c r="E211" s="30"/>
      <c r="F211" s="54" t="s">
        <v>3103</v>
      </c>
      <c r="G211" s="54" t="s">
        <v>3218</v>
      </c>
      <c r="H211" s="54"/>
      <c r="I211" s="54" t="s">
        <v>3103</v>
      </c>
      <c r="J211" s="54"/>
      <c r="K211" s="54"/>
      <c r="L211" s="54"/>
    </row>
    <row r="212" spans="1:12">
      <c r="A212" s="99" t="s">
        <v>3008</v>
      </c>
      <c r="B212" s="100" t="str">
        <f>Tabelle14[[#This Row],[Dateiname]]</f>
        <v>chips</v>
      </c>
      <c r="C212" s="101" t="s">
        <v>2247</v>
      </c>
      <c r="D212" s="9" t="s">
        <v>3009</v>
      </c>
      <c r="E212" s="30"/>
      <c r="F212" s="54" t="s">
        <v>3197</v>
      </c>
      <c r="G212" s="54" t="s">
        <v>3219</v>
      </c>
      <c r="H212" s="54" t="s">
        <v>3197</v>
      </c>
      <c r="I212" s="54" t="s">
        <v>3197</v>
      </c>
      <c r="J212" s="54"/>
      <c r="K212" s="54"/>
      <c r="L212" s="54"/>
    </row>
    <row r="213" spans="1:12">
      <c r="A213" s="99" t="s">
        <v>2906</v>
      </c>
      <c r="B213" s="100" t="str">
        <f>Tabelle14[[#This Row],[Dateiname]]</f>
        <v>glut</v>
      </c>
      <c r="C213" s="101" t="s">
        <v>2247</v>
      </c>
      <c r="D213" s="9" t="s">
        <v>3010</v>
      </c>
      <c r="E213" s="30"/>
      <c r="F213" s="54" t="s">
        <v>3220</v>
      </c>
      <c r="G213" s="54" t="s">
        <v>3221</v>
      </c>
      <c r="H213" s="54"/>
      <c r="I213" s="54" t="s">
        <v>3220</v>
      </c>
      <c r="J213" s="54"/>
      <c r="K213" s="54"/>
      <c r="L213" s="54"/>
    </row>
    <row r="214" spans="1:12">
      <c r="A214" s="99" t="s">
        <v>351</v>
      </c>
      <c r="B214" s="100" t="str">
        <f>Tabelle14[[#This Row],[Dateiname]]</f>
        <v>barren</v>
      </c>
      <c r="C214" s="101" t="s">
        <v>2247</v>
      </c>
      <c r="D214" s="9" t="s">
        <v>3011</v>
      </c>
      <c r="E214" s="30"/>
      <c r="F214" s="54" t="s">
        <v>3222</v>
      </c>
      <c r="G214" s="54" t="s">
        <v>2849</v>
      </c>
      <c r="H214" s="54"/>
      <c r="I214" s="54" t="s">
        <v>3222</v>
      </c>
      <c r="J214" s="54"/>
      <c r="K214" s="54"/>
      <c r="L214" s="54"/>
    </row>
    <row r="215" spans="1:12">
      <c r="A215" s="99" t="s">
        <v>1698</v>
      </c>
      <c r="B215" s="100" t="str">
        <f>Tabelle14[[#This Row],[Dateiname]]</f>
        <v>auflauf</v>
      </c>
      <c r="C215" s="101" t="s">
        <v>2247</v>
      </c>
      <c r="D215" s="9" t="s">
        <v>3012</v>
      </c>
      <c r="E215" s="30"/>
      <c r="F215" s="54" t="s">
        <v>3224</v>
      </c>
      <c r="G215" s="54" t="s">
        <v>3223</v>
      </c>
      <c r="H215" s="54"/>
      <c r="I215" s="54" t="s">
        <v>3224</v>
      </c>
      <c r="J215" s="54"/>
      <c r="K215" s="54"/>
      <c r="L215" s="54"/>
    </row>
    <row r="216" spans="1:12">
      <c r="A216" s="99" t="s">
        <v>1585</v>
      </c>
      <c r="B216" s="100" t="str">
        <f>Tabelle14[[#This Row],[Dateiname]]</f>
        <v>getriebe</v>
      </c>
      <c r="C216" s="101" t="s">
        <v>2247</v>
      </c>
      <c r="D216" s="9" t="s">
        <v>3013</v>
      </c>
      <c r="E216" s="30"/>
      <c r="F216" s="54" t="s">
        <v>3198</v>
      </c>
      <c r="G216" s="54" t="s">
        <v>1863</v>
      </c>
      <c r="H216" s="54"/>
      <c r="I216" s="54" t="s">
        <v>3198</v>
      </c>
      <c r="J216" s="54"/>
      <c r="K216" s="54"/>
      <c r="L216" s="54"/>
    </row>
    <row r="217" spans="1:12">
      <c r="A217" s="99" t="s">
        <v>48</v>
      </c>
      <c r="B217" s="100" t="str">
        <f>Tabelle14[[#This Row],[Dateiname]]</f>
        <v>backen</v>
      </c>
      <c r="C217" s="101" t="s">
        <v>2247</v>
      </c>
      <c r="D217" s="9" t="s">
        <v>3014</v>
      </c>
      <c r="E217" s="30"/>
      <c r="F217" s="54" t="s">
        <v>3225</v>
      </c>
      <c r="G217" s="54" t="s">
        <v>3226</v>
      </c>
      <c r="H217" s="54"/>
      <c r="I217" s="54" t="s">
        <v>3225</v>
      </c>
      <c r="J217" s="54"/>
      <c r="K217" s="54"/>
      <c r="L217" s="54"/>
    </row>
    <row r="218" spans="1:12">
      <c r="A218" s="99" t="s">
        <v>3015</v>
      </c>
      <c r="B218" s="100" t="str">
        <f>Tabelle14[[#This Row],[Dateiname]]</f>
        <v>kuppel</v>
      </c>
      <c r="C218" s="101" t="s">
        <v>2247</v>
      </c>
      <c r="D218" s="9" t="s">
        <v>3016</v>
      </c>
      <c r="E218" s="30"/>
      <c r="F218" s="54" t="s">
        <v>3199</v>
      </c>
      <c r="G218" s="54" t="s">
        <v>3227</v>
      </c>
      <c r="H218" s="54"/>
      <c r="I218" s="54" t="s">
        <v>3199</v>
      </c>
      <c r="J218" s="54"/>
      <c r="K218" s="54"/>
      <c r="L218" s="54"/>
    </row>
    <row r="219" spans="1:12">
      <c r="A219" s="99" t="s">
        <v>48</v>
      </c>
      <c r="B219" s="100" t="str">
        <f>Tabelle14[[#This Row],[Dateiname]]</f>
        <v>gitarre</v>
      </c>
      <c r="C219" s="101" t="s">
        <v>2247</v>
      </c>
      <c r="D219" s="9" t="s">
        <v>3017</v>
      </c>
      <c r="E219" s="30"/>
      <c r="F219" s="54" t="s">
        <v>3185</v>
      </c>
      <c r="G219" s="54" t="s">
        <v>3183</v>
      </c>
      <c r="H219" s="54"/>
      <c r="I219" s="54" t="s">
        <v>3185</v>
      </c>
      <c r="J219" s="54"/>
      <c r="K219" s="54"/>
      <c r="L219" s="54"/>
    </row>
    <row r="220" spans="1:12">
      <c r="A220" s="99" t="s">
        <v>1585</v>
      </c>
      <c r="B220" s="100" t="str">
        <f>Tabelle14[[#This Row],[Dateiname]]</f>
        <v>bakteriophage</v>
      </c>
      <c r="C220" s="101" t="s">
        <v>2247</v>
      </c>
      <c r="D220" s="9" t="s">
        <v>3018</v>
      </c>
      <c r="E220" s="30"/>
      <c r="F220" s="54" t="s">
        <v>3200</v>
      </c>
      <c r="G220" s="54" t="s">
        <v>3228</v>
      </c>
      <c r="H220" s="54"/>
      <c r="I220" s="54" t="s">
        <v>3200</v>
      </c>
      <c r="J220" s="54"/>
      <c r="K220" s="54"/>
      <c r="L220" s="54"/>
    </row>
    <row r="221" spans="1:12">
      <c r="A221" s="99" t="s">
        <v>3019</v>
      </c>
      <c r="B221" s="100" t="str">
        <f>Tabelle14[[#This Row],[Dateiname]]</f>
        <v>ruestung</v>
      </c>
      <c r="C221" s="101" t="s">
        <v>2247</v>
      </c>
      <c r="D221" s="9" t="s">
        <v>3020</v>
      </c>
      <c r="E221" s="30"/>
      <c r="F221" s="54" t="s">
        <v>3229</v>
      </c>
      <c r="G221" s="54" t="s">
        <v>3230</v>
      </c>
      <c r="H221" s="54"/>
      <c r="I221" s="54" t="s">
        <v>3231</v>
      </c>
      <c r="J221" s="54"/>
      <c r="K221" s="54"/>
      <c r="L221" s="54"/>
    </row>
    <row r="222" spans="1:12">
      <c r="A222" s="99" t="s">
        <v>3021</v>
      </c>
      <c r="B222" s="100" t="str">
        <f>Tabelle14[[#This Row],[Dateiname]]</f>
        <v>mittelalter</v>
      </c>
      <c r="C222" s="101" t="s">
        <v>2247</v>
      </c>
      <c r="D222" s="9" t="s">
        <v>3022</v>
      </c>
      <c r="E222" s="30"/>
      <c r="F222" s="54" t="s">
        <v>3232</v>
      </c>
      <c r="G222" s="54" t="s">
        <v>3233</v>
      </c>
      <c r="H222" s="54"/>
      <c r="I222" s="54" t="s">
        <v>3232</v>
      </c>
      <c r="J222" s="54"/>
      <c r="K222" s="54"/>
      <c r="L222" s="54"/>
    </row>
    <row r="223" spans="1:12">
      <c r="A223" s="99" t="s">
        <v>1924</v>
      </c>
      <c r="B223" s="100" t="str">
        <f>Tabelle14[[#This Row],[Dateiname]]</f>
        <v>ruine</v>
      </c>
      <c r="C223" s="101" t="s">
        <v>2247</v>
      </c>
      <c r="D223" s="9" t="s">
        <v>3023</v>
      </c>
      <c r="E223" s="30"/>
      <c r="F223" s="54" t="s">
        <v>3234</v>
      </c>
      <c r="G223" s="54" t="s">
        <v>3235</v>
      </c>
      <c r="H223" s="54"/>
      <c r="I223" s="54" t="s">
        <v>3234</v>
      </c>
      <c r="J223" s="54"/>
      <c r="K223" s="54"/>
      <c r="L223" s="54"/>
    </row>
    <row r="224" spans="1:12">
      <c r="A224" s="99" t="s">
        <v>887</v>
      </c>
      <c r="B224" s="100" t="str">
        <f>Tabelle14[[#This Row],[Dateiname]]</f>
        <v>britisch</v>
      </c>
      <c r="C224" s="101" t="s">
        <v>2247</v>
      </c>
      <c r="D224" s="9" t="s">
        <v>3024</v>
      </c>
      <c r="E224" s="30"/>
      <c r="F224" s="54" t="s">
        <v>3101</v>
      </c>
      <c r="G224" s="54" t="s">
        <v>3236</v>
      </c>
      <c r="H224" s="54"/>
      <c r="I224" s="54" t="s">
        <v>3101</v>
      </c>
      <c r="J224" s="54"/>
      <c r="K224" s="54"/>
      <c r="L224" s="54"/>
    </row>
    <row r="225" spans="1:12">
      <c r="A225" s="99" t="s">
        <v>3025</v>
      </c>
      <c r="B225" s="100" t="str">
        <f>Tabelle14[[#This Row],[Dateiname]]</f>
        <v>blumenstrauss</v>
      </c>
      <c r="C225" s="101" t="s">
        <v>2247</v>
      </c>
      <c r="D225" s="9" t="s">
        <v>3026</v>
      </c>
      <c r="E225" s="30"/>
      <c r="F225" s="54" t="s">
        <v>3237</v>
      </c>
      <c r="G225" s="54" t="s">
        <v>3238</v>
      </c>
      <c r="H225" s="54"/>
      <c r="I225" s="54" t="s">
        <v>3237</v>
      </c>
      <c r="J225" s="54"/>
      <c r="K225" s="54"/>
      <c r="L225" s="54"/>
    </row>
    <row r="226" spans="1:12">
      <c r="A226" s="99" t="s">
        <v>3027</v>
      </c>
      <c r="B226" s="100" t="str">
        <f>Tabelle14[[#This Row],[Dateiname]]</f>
        <v>topfpflanze</v>
      </c>
      <c r="C226" s="101" t="s">
        <v>2247</v>
      </c>
      <c r="D226" s="9" t="s">
        <v>3028</v>
      </c>
      <c r="E226" s="30"/>
      <c r="F226" s="54" t="s">
        <v>3201</v>
      </c>
      <c r="G226" s="54" t="s">
        <v>3239</v>
      </c>
      <c r="H226" s="54"/>
      <c r="I226" s="54" t="s">
        <v>3201</v>
      </c>
      <c r="J226" s="54"/>
      <c r="K226" s="54"/>
      <c r="L226" s="54"/>
    </row>
    <row r="227" spans="1:12">
      <c r="A227" s="99" t="s">
        <v>887</v>
      </c>
      <c r="B227" s="100" t="str">
        <f>Tabelle14[[#This Row],[Dateiname]]</f>
        <v>strichkode</v>
      </c>
      <c r="C227" s="101" t="s">
        <v>2247</v>
      </c>
      <c r="D227" s="9" t="s">
        <v>3029</v>
      </c>
      <c r="E227" s="30"/>
      <c r="F227" s="54" t="s">
        <v>3243</v>
      </c>
      <c r="G227" s="54" t="s">
        <v>3240</v>
      </c>
      <c r="H227" s="54"/>
      <c r="I227" s="54" t="s">
        <v>3243</v>
      </c>
      <c r="J227" s="54"/>
      <c r="K227" s="54"/>
      <c r="L227" s="54"/>
    </row>
    <row r="228" spans="1:12">
      <c r="A228" s="99" t="s">
        <v>1585</v>
      </c>
      <c r="B228" s="100" t="str">
        <f>Tabelle14[[#This Row],[Dateiname]]</f>
        <v>cursor</v>
      </c>
      <c r="C228" s="101" t="s">
        <v>2247</v>
      </c>
      <c r="D228" s="9" t="s">
        <v>3030</v>
      </c>
      <c r="E228" s="30"/>
      <c r="F228" s="54" t="s">
        <v>3184</v>
      </c>
      <c r="G228" s="54" t="s">
        <v>3184</v>
      </c>
      <c r="H228" s="54"/>
      <c r="I228" s="54" t="s">
        <v>3184</v>
      </c>
      <c r="J228" s="54"/>
      <c r="K228" s="54"/>
      <c r="L228" s="54"/>
    </row>
    <row r="229" spans="1:12">
      <c r="A229" s="99" t="s">
        <v>865</v>
      </c>
      <c r="B229" s="100" t="str">
        <f>Tabelle14[[#This Row],[Dateiname]]</f>
        <v>dampflok</v>
      </c>
      <c r="C229" s="101" t="s">
        <v>2247</v>
      </c>
      <c r="D229" s="9" t="s">
        <v>3031</v>
      </c>
      <c r="E229" s="30"/>
      <c r="F229" s="54" t="s">
        <v>3244</v>
      </c>
      <c r="G229" s="54" t="s">
        <v>3245</v>
      </c>
      <c r="H229" s="54"/>
      <c r="I229" s="54" t="s">
        <v>3244</v>
      </c>
      <c r="J229" s="54"/>
      <c r="K229" s="54"/>
      <c r="L229" s="54"/>
    </row>
    <row r="230" spans="1:12">
      <c r="A230" s="99" t="s">
        <v>1811</v>
      </c>
      <c r="B230" s="100" t="str">
        <f>Tabelle14[[#This Row],[Dateiname]]</f>
        <v>pfeife</v>
      </c>
      <c r="C230" s="101" t="s">
        <v>2247</v>
      </c>
      <c r="D230" s="9" t="s">
        <v>3032</v>
      </c>
      <c r="E230" s="30"/>
      <c r="F230" s="54" t="s">
        <v>1878</v>
      </c>
      <c r="G230" s="54" t="s">
        <v>3247</v>
      </c>
      <c r="H230" s="54"/>
      <c r="I230" s="54" t="s">
        <v>1878</v>
      </c>
      <c r="J230" s="54"/>
      <c r="K230" s="54"/>
      <c r="L230" s="54"/>
    </row>
    <row r="231" spans="1:12">
      <c r="A231" s="99" t="s">
        <v>3019</v>
      </c>
      <c r="B231" s="100" t="str">
        <f>Tabelle14[[#This Row],[Dateiname]]</f>
        <v>rauch</v>
      </c>
      <c r="C231" s="101" t="s">
        <v>2247</v>
      </c>
      <c r="D231" s="9" t="s">
        <v>3033</v>
      </c>
      <c r="E231" s="30"/>
      <c r="F231" s="54" t="s">
        <v>3105</v>
      </c>
      <c r="G231" s="54" t="s">
        <v>3246</v>
      </c>
      <c r="H231" s="54"/>
      <c r="I231" s="54" t="s">
        <v>3105</v>
      </c>
      <c r="J231" s="54"/>
      <c r="K231" s="54"/>
      <c r="L231" s="54"/>
    </row>
    <row r="232" spans="1:12">
      <c r="A232" s="99" t="s">
        <v>3008</v>
      </c>
      <c r="B232" s="100" t="str">
        <f>Tabelle14[[#This Row],[Dateiname]]</f>
        <v>kreisel</v>
      </c>
      <c r="C232" s="101" t="s">
        <v>2247</v>
      </c>
      <c r="D232" s="9" t="s">
        <v>3034</v>
      </c>
      <c r="E232" s="30"/>
      <c r="F232" s="54" t="s">
        <v>3202</v>
      </c>
      <c r="G232" s="98" t="s">
        <v>3248</v>
      </c>
      <c r="H232" s="54"/>
      <c r="I232" s="54" t="s">
        <v>3202</v>
      </c>
      <c r="J232" s="54"/>
      <c r="K232" s="54"/>
      <c r="L232" s="54"/>
    </row>
    <row r="233" spans="1:12">
      <c r="A233" s="99" t="s">
        <v>3035</v>
      </c>
      <c r="B233" s="100" t="str">
        <f>Tabelle14[[#This Row],[Dateiname]]</f>
        <v>atompilz</v>
      </c>
      <c r="C233" s="101" t="s">
        <v>2247</v>
      </c>
      <c r="D233" s="9" t="s">
        <v>3036</v>
      </c>
      <c r="E233" s="30"/>
      <c r="F233" s="54" t="s">
        <v>3253</v>
      </c>
      <c r="G233" s="54" t="s">
        <v>3102</v>
      </c>
      <c r="H233" s="54"/>
      <c r="I233" s="54" t="s">
        <v>3253</v>
      </c>
      <c r="J233" s="54"/>
      <c r="K233" s="54"/>
      <c r="L233" s="54"/>
    </row>
    <row r="234" spans="1:12">
      <c r="A234" s="99" t="s">
        <v>1175</v>
      </c>
      <c r="B234" s="100" t="str">
        <f>Tabelle14[[#This Row],[Dateiname]]</f>
        <v>fallobst</v>
      </c>
      <c r="C234" s="101" t="s">
        <v>2247</v>
      </c>
      <c r="D234" s="9" t="s">
        <v>3037</v>
      </c>
      <c r="E234" s="30"/>
      <c r="F234" s="54" t="s">
        <v>3249</v>
      </c>
      <c r="G234" s="98" t="s">
        <v>3250</v>
      </c>
      <c r="H234" s="54"/>
      <c r="I234" s="54" t="s">
        <v>3249</v>
      </c>
      <c r="J234" s="54"/>
      <c r="K234" s="54"/>
      <c r="L234" s="54"/>
    </row>
    <row r="235" spans="1:12">
      <c r="A235" s="99">
        <v>873770</v>
      </c>
      <c r="B235" s="100" t="str">
        <f>Tabelle14[[#This Row],[Dateiname]]</f>
        <v>freude</v>
      </c>
      <c r="C235" s="101" t="s">
        <v>2247</v>
      </c>
      <c r="D235" s="9" t="s">
        <v>3038</v>
      </c>
      <c r="E235" s="30"/>
      <c r="F235" s="54" t="s">
        <v>3251</v>
      </c>
      <c r="G235" s="54" t="s">
        <v>3254</v>
      </c>
      <c r="H235" s="54"/>
      <c r="I235" s="54" t="s">
        <v>3252</v>
      </c>
      <c r="J235" s="54"/>
      <c r="K235" s="54"/>
      <c r="L235" s="54"/>
    </row>
    <row r="236" spans="1:12">
      <c r="A236" s="99" t="s">
        <v>3039</v>
      </c>
      <c r="B236" s="100" t="str">
        <f>Tabelle14[[#This Row],[Dateiname]]</f>
        <v>lachen</v>
      </c>
      <c r="C236" s="101" t="s">
        <v>2247</v>
      </c>
      <c r="D236" s="9" t="s">
        <v>3040</v>
      </c>
      <c r="E236" s="30"/>
      <c r="F236" s="54" t="s">
        <v>3090</v>
      </c>
      <c r="G236" s="54" t="s">
        <v>3255</v>
      </c>
      <c r="H236" s="54"/>
      <c r="I236" s="54" t="s">
        <v>3256</v>
      </c>
      <c r="J236" s="54"/>
      <c r="K236" s="54"/>
      <c r="L236" s="54"/>
    </row>
    <row r="237" spans="1:12">
      <c r="A237" s="99" t="s">
        <v>3041</v>
      </c>
      <c r="B237" s="100" t="str">
        <f>Tabelle14[[#This Row],[Dateiname]]</f>
        <v>ofen</v>
      </c>
      <c r="C237" s="101" t="s">
        <v>2247</v>
      </c>
      <c r="D237" s="9" t="s">
        <v>3042</v>
      </c>
      <c r="E237" s="30"/>
      <c r="F237" s="54" t="s">
        <v>3091</v>
      </c>
      <c r="G237" s="54" t="s">
        <v>3263</v>
      </c>
      <c r="H237" s="54"/>
      <c r="I237" s="54" t="s">
        <v>3257</v>
      </c>
      <c r="J237" s="54"/>
      <c r="K237" s="54"/>
      <c r="L237" s="54"/>
    </row>
    <row r="238" spans="1:12">
      <c r="A238" s="99" t="s">
        <v>3043</v>
      </c>
      <c r="B238" s="100" t="str">
        <f>Tabelle14[[#This Row],[Dateiname]]</f>
        <v>gasflamme</v>
      </c>
      <c r="C238" s="101" t="s">
        <v>2247</v>
      </c>
      <c r="D238" s="9" t="s">
        <v>3044</v>
      </c>
      <c r="E238" s="30"/>
      <c r="F238" s="54" t="s">
        <v>3274</v>
      </c>
      <c r="G238" s="54" t="s">
        <v>3275</v>
      </c>
      <c r="H238" s="54"/>
      <c r="I238" s="54" t="s">
        <v>3276</v>
      </c>
      <c r="J238" s="54"/>
      <c r="K238" s="54"/>
      <c r="L238" s="54"/>
    </row>
    <row r="239" spans="1:12">
      <c r="A239" s="99" t="s">
        <v>887</v>
      </c>
      <c r="B239" s="100" t="str">
        <f>Tabelle14[[#This Row],[Dateiname]]</f>
        <v>tafel</v>
      </c>
      <c r="C239" s="101" t="s">
        <v>2247</v>
      </c>
      <c r="D239" s="9" t="s">
        <v>3045</v>
      </c>
      <c r="E239" s="30"/>
      <c r="F239" s="54" t="s">
        <v>3092</v>
      </c>
      <c r="G239" s="54" t="s">
        <v>2478</v>
      </c>
      <c r="H239" s="54"/>
      <c r="I239" s="54" t="s">
        <v>3258</v>
      </c>
      <c r="J239" s="54"/>
      <c r="K239" s="54"/>
      <c r="L239" s="54"/>
    </row>
    <row r="240" spans="1:12">
      <c r="A240" s="99" t="s">
        <v>3046</v>
      </c>
      <c r="B240" s="100" t="str">
        <f>Tabelle14[[#This Row],[Dateiname]]</f>
        <v>troll</v>
      </c>
      <c r="C240" s="101" t="s">
        <v>2247</v>
      </c>
      <c r="D240" s="9" t="s">
        <v>3047</v>
      </c>
      <c r="E240" s="30"/>
      <c r="F240" s="54" t="s">
        <v>3277</v>
      </c>
      <c r="G240" s="54" t="s">
        <v>3277</v>
      </c>
      <c r="H240" s="54"/>
      <c r="I240" s="54" t="s">
        <v>3277</v>
      </c>
      <c r="J240" s="54"/>
      <c r="K240" s="54"/>
      <c r="L240" s="54"/>
    </row>
    <row r="241" spans="1:12">
      <c r="A241" s="99" t="s">
        <v>1585</v>
      </c>
      <c r="B241" s="100" t="str">
        <f>Tabelle14[[#This Row],[Dateiname]]</f>
        <v>badewanne</v>
      </c>
      <c r="C241" s="101" t="s">
        <v>2247</v>
      </c>
      <c r="D241" s="9" t="s">
        <v>3048</v>
      </c>
      <c r="E241" s="30"/>
      <c r="F241" s="54" t="s">
        <v>3259</v>
      </c>
      <c r="G241" s="54" t="s">
        <v>3278</v>
      </c>
      <c r="H241" s="54"/>
      <c r="I241" s="54" t="s">
        <v>3259</v>
      </c>
      <c r="J241" s="54"/>
      <c r="K241" s="54"/>
      <c r="L241" s="54"/>
    </row>
    <row r="242" spans="1:12">
      <c r="A242" s="99" t="s">
        <v>3049</v>
      </c>
      <c r="B242" s="100" t="str">
        <f>Tabelle14[[#This Row],[Dateiname]]</f>
        <v>horoskop</v>
      </c>
      <c r="C242" s="101" t="s">
        <v>2247</v>
      </c>
      <c r="D242" s="9" t="s">
        <v>3050</v>
      </c>
      <c r="E242" s="30"/>
      <c r="F242" s="54" t="s">
        <v>3104</v>
      </c>
      <c r="G242" s="54" t="s">
        <v>3279</v>
      </c>
      <c r="H242" s="54"/>
      <c r="I242" s="54" t="s">
        <v>3104</v>
      </c>
      <c r="J242" s="54"/>
      <c r="K242" s="54"/>
      <c r="L242" s="54"/>
    </row>
    <row r="243" spans="1:12">
      <c r="A243" s="99" t="s">
        <v>3051</v>
      </c>
      <c r="B243" s="100" t="str">
        <f>Tabelle14[[#This Row],[Dateiname]]</f>
        <v>massage</v>
      </c>
      <c r="C243" s="101" t="s">
        <v>2247</v>
      </c>
      <c r="D243" s="9" t="s">
        <v>3052</v>
      </c>
      <c r="E243" s="30"/>
      <c r="F243" s="54" t="s">
        <v>3242</v>
      </c>
      <c r="G243" s="54" t="s">
        <v>3242</v>
      </c>
      <c r="H243" s="54"/>
      <c r="I243" s="54" t="s">
        <v>3242</v>
      </c>
      <c r="J243" s="54"/>
      <c r="K243" s="54"/>
      <c r="L243" s="54"/>
    </row>
    <row r="244" spans="1:12">
      <c r="A244" s="99" t="s">
        <v>3053</v>
      </c>
      <c r="B244" s="100" t="str">
        <f>Tabelle14[[#This Row],[Dateiname]]</f>
        <v>kosmetik</v>
      </c>
      <c r="C244" s="101" t="s">
        <v>2247</v>
      </c>
      <c r="D244" s="9" t="s">
        <v>3054</v>
      </c>
      <c r="E244" s="30"/>
      <c r="F244" s="54" t="s">
        <v>3285</v>
      </c>
      <c r="G244" s="54" t="s">
        <v>3286</v>
      </c>
      <c r="H244" s="54"/>
      <c r="I244" s="54" t="s">
        <v>3285</v>
      </c>
      <c r="J244" s="54"/>
      <c r="K244" s="54"/>
      <c r="L244" s="54"/>
    </row>
    <row r="245" spans="1:12">
      <c r="A245" s="99" t="s">
        <v>351</v>
      </c>
      <c r="B245" s="100" t="str">
        <f>Tabelle14[[#This Row],[Dateiname]]</f>
        <v>lippenstift</v>
      </c>
      <c r="C245" s="101" t="s">
        <v>2247</v>
      </c>
      <c r="D245" s="9" t="s">
        <v>3055</v>
      </c>
      <c r="E245" s="30"/>
      <c r="F245" s="54" t="s">
        <v>3260</v>
      </c>
      <c r="G245" s="54" t="s">
        <v>3287</v>
      </c>
      <c r="H245" s="54"/>
      <c r="I245" s="54" t="s">
        <v>3260</v>
      </c>
      <c r="J245" s="54"/>
      <c r="K245" s="54"/>
      <c r="L245" s="54"/>
    </row>
    <row r="246" spans="1:12">
      <c r="A246" s="99" t="s">
        <v>3056</v>
      </c>
      <c r="B246" s="100" t="str">
        <f>Tabelle14[[#This Row],[Dateiname]]</f>
        <v>feuerwehrauto</v>
      </c>
      <c r="C246" s="101" t="s">
        <v>2247</v>
      </c>
      <c r="D246" s="9" t="s">
        <v>3057</v>
      </c>
      <c r="E246" s="30"/>
      <c r="F246" s="54" t="s">
        <v>3261</v>
      </c>
      <c r="G246" s="54" t="s">
        <v>3288</v>
      </c>
      <c r="H246" s="54"/>
      <c r="I246" s="54" t="s">
        <v>3261</v>
      </c>
      <c r="J246" s="54"/>
      <c r="K246" s="54"/>
      <c r="L246" s="54"/>
    </row>
    <row r="247" spans="1:12">
      <c r="A247" s="99" t="s">
        <v>351</v>
      </c>
      <c r="B247" s="100" t="str">
        <f>Tabelle14[[#This Row],[Dateiname]]</f>
        <v>bikini</v>
      </c>
      <c r="C247" s="101" t="s">
        <v>2247</v>
      </c>
      <c r="D247" s="9" t="s">
        <v>3058</v>
      </c>
      <c r="E247" s="30"/>
      <c r="F247" s="54" t="s">
        <v>3262</v>
      </c>
      <c r="G247" s="54" t="s">
        <v>3262</v>
      </c>
      <c r="H247" s="54"/>
      <c r="I247" s="54" t="s">
        <v>3262</v>
      </c>
      <c r="J247" s="54"/>
      <c r="K247" s="54"/>
      <c r="L247" s="54"/>
    </row>
    <row r="248" spans="1:12">
      <c r="A248" s="99" t="s">
        <v>1924</v>
      </c>
      <c r="B248" s="100" t="str">
        <f>Tabelle14[[#This Row],[Dateiname]]</f>
        <v>spargel</v>
      </c>
      <c r="C248" s="101" t="s">
        <v>2247</v>
      </c>
      <c r="D248" s="9" t="s">
        <v>3059</v>
      </c>
      <c r="E248" s="30"/>
      <c r="F248" s="54" t="s">
        <v>3264</v>
      </c>
      <c r="G248" s="54" t="s">
        <v>3294</v>
      </c>
      <c r="H248" s="54"/>
      <c r="I248" s="54" t="s">
        <v>3264</v>
      </c>
      <c r="J248" s="54"/>
      <c r="K248" s="54"/>
      <c r="L248" s="54"/>
    </row>
    <row r="249" spans="1:12">
      <c r="A249" s="99" t="s">
        <v>1585</v>
      </c>
      <c r="B249" s="100" t="str">
        <f>Tabelle14[[#This Row],[Dateiname]]</f>
        <v>friseur</v>
      </c>
      <c r="C249" s="101" t="s">
        <v>2247</v>
      </c>
      <c r="D249" s="9" t="s">
        <v>3060</v>
      </c>
      <c r="E249" s="30"/>
      <c r="F249" s="54" t="s">
        <v>3265</v>
      </c>
      <c r="G249" s="54" t="s">
        <v>3295</v>
      </c>
      <c r="H249" s="54"/>
      <c r="I249" s="54" t="s">
        <v>3265</v>
      </c>
      <c r="J249" s="54"/>
      <c r="K249" s="54"/>
      <c r="L249" s="54"/>
    </row>
    <row r="250" spans="1:12">
      <c r="A250" s="99" t="s">
        <v>1585</v>
      </c>
      <c r="B250" s="100" t="str">
        <f>Tabelle14[[#This Row],[Dateiname]]</f>
        <v>torte</v>
      </c>
      <c r="C250" s="101" t="s">
        <v>2247</v>
      </c>
      <c r="D250" s="9" t="s">
        <v>3061</v>
      </c>
      <c r="E250" s="30"/>
      <c r="F250" s="54" t="s">
        <v>3266</v>
      </c>
      <c r="G250" s="98" t="s">
        <v>3266</v>
      </c>
      <c r="H250" s="54"/>
      <c r="I250" s="54" t="s">
        <v>3266</v>
      </c>
      <c r="J250" s="54"/>
      <c r="K250" s="54"/>
      <c r="L250" s="54"/>
    </row>
    <row r="251" spans="1:12">
      <c r="A251" s="99" t="s">
        <v>3062</v>
      </c>
      <c r="B251" s="100" t="str">
        <f>Tabelle14[[#This Row],[Dateiname]]</f>
        <v>dj</v>
      </c>
      <c r="C251" s="101" t="s">
        <v>2247</v>
      </c>
      <c r="D251" s="9" t="s">
        <v>3063</v>
      </c>
      <c r="E251" s="30"/>
      <c r="F251" s="54" t="s">
        <v>3296</v>
      </c>
      <c r="G251" s="54" t="s">
        <v>3296</v>
      </c>
      <c r="H251" s="54"/>
      <c r="I251" s="54" t="s">
        <v>3296</v>
      </c>
      <c r="J251" s="54"/>
      <c r="K251" s="54"/>
      <c r="L251" s="54"/>
    </row>
    <row r="252" spans="1:12">
      <c r="A252" s="99" t="s">
        <v>3064</v>
      </c>
      <c r="B252" s="100" t="str">
        <f>Tabelle14[[#This Row],[Dateiname]]</f>
        <v>publikum</v>
      </c>
      <c r="C252" s="101" t="s">
        <v>2247</v>
      </c>
      <c r="D252" s="9" t="s">
        <v>3065</v>
      </c>
      <c r="E252" s="30"/>
      <c r="F252" s="54" t="s">
        <v>3267</v>
      </c>
      <c r="G252" s="54" t="s">
        <v>3297</v>
      </c>
      <c r="H252" s="54"/>
      <c r="I252" s="54" t="s">
        <v>3267</v>
      </c>
      <c r="J252" s="54"/>
      <c r="K252" s="54"/>
      <c r="L252" s="54"/>
    </row>
    <row r="253" spans="1:12">
      <c r="A253" s="99" t="s">
        <v>3066</v>
      </c>
      <c r="B253" s="100" t="str">
        <f>Tabelle14[[#This Row],[Dateiname]]</f>
        <v>haengematte</v>
      </c>
      <c r="C253" s="101" t="s">
        <v>2247</v>
      </c>
      <c r="D253" s="9" t="s">
        <v>3067</v>
      </c>
      <c r="E253" s="30"/>
      <c r="F253" s="54" t="s">
        <v>3298</v>
      </c>
      <c r="G253" s="54" t="s">
        <v>3300</v>
      </c>
      <c r="H253" s="54"/>
      <c r="I253" s="54" t="s">
        <v>3299</v>
      </c>
      <c r="J253" s="54"/>
      <c r="K253" s="54"/>
      <c r="L253" s="54"/>
    </row>
    <row r="254" spans="1:12">
      <c r="A254" s="99" t="s">
        <v>1585</v>
      </c>
      <c r="B254" s="100" t="str">
        <f>Tabelle14[[#This Row],[Dateiname]]</f>
        <v>rollstuhl</v>
      </c>
      <c r="C254" s="101" t="s">
        <v>2247</v>
      </c>
      <c r="D254" s="9" t="s">
        <v>3068</v>
      </c>
      <c r="E254" s="30"/>
      <c r="F254" s="54" t="s">
        <v>3093</v>
      </c>
      <c r="G254" s="54" t="s">
        <v>3301</v>
      </c>
      <c r="H254" s="54"/>
      <c r="I254" s="54" t="s">
        <v>3268</v>
      </c>
      <c r="J254" s="54"/>
      <c r="K254" s="54"/>
      <c r="L254" s="54"/>
    </row>
    <row r="255" spans="1:12">
      <c r="A255" s="99" t="s">
        <v>3069</v>
      </c>
      <c r="B255" s="100" t="str">
        <f>Tabelle14[[#This Row],[Dateiname]]</f>
        <v>liegestuhl</v>
      </c>
      <c r="C255" s="101" t="s">
        <v>2247</v>
      </c>
      <c r="D255" s="9" t="s">
        <v>3070</v>
      </c>
      <c r="E255" s="30"/>
      <c r="F255" s="54" t="s">
        <v>3269</v>
      </c>
      <c r="G255" s="54" t="s">
        <v>3302</v>
      </c>
      <c r="H255" s="54"/>
      <c r="I255" s="54" t="s">
        <v>3269</v>
      </c>
      <c r="J255" s="54"/>
      <c r="K255" s="54"/>
      <c r="L255" s="54"/>
    </row>
    <row r="256" spans="1:12">
      <c r="A256" s="99" t="s">
        <v>887</v>
      </c>
      <c r="B256" s="100" t="str">
        <f>Tabelle14[[#This Row],[Dateiname]]</f>
        <v>paragraf</v>
      </c>
      <c r="C256" s="101" t="s">
        <v>2247</v>
      </c>
      <c r="D256" s="9" t="s">
        <v>3071</v>
      </c>
      <c r="E256" s="30"/>
      <c r="F256" s="54" t="s">
        <v>3270</v>
      </c>
      <c r="G256" s="54" t="s">
        <v>3303</v>
      </c>
      <c r="H256" s="54"/>
      <c r="I256" s="54" t="s">
        <v>3270</v>
      </c>
      <c r="J256" s="54"/>
      <c r="K256" s="54"/>
      <c r="L256" s="54"/>
    </row>
    <row r="257" spans="1:12">
      <c r="A257" s="99" t="s">
        <v>1787</v>
      </c>
      <c r="B257" s="100" t="str">
        <f>Tabelle14[[#This Row],[Dateiname]]</f>
        <v>muskeln</v>
      </c>
      <c r="C257" s="101" t="s">
        <v>2247</v>
      </c>
      <c r="D257" s="9" t="s">
        <v>3072</v>
      </c>
      <c r="E257" s="30"/>
      <c r="F257" s="54" t="s">
        <v>3271</v>
      </c>
      <c r="G257" s="54" t="s">
        <v>3304</v>
      </c>
      <c r="H257" s="54"/>
      <c r="I257" s="54" t="s">
        <v>3271</v>
      </c>
      <c r="J257" s="54"/>
      <c r="K257" s="54"/>
      <c r="L257" s="54"/>
    </row>
    <row r="258" spans="1:12">
      <c r="A258" s="99" t="s">
        <v>1175</v>
      </c>
      <c r="B258" s="100" t="str">
        <f>Tabelle14[[#This Row],[Dateiname]]</f>
        <v>eisbecher</v>
      </c>
      <c r="C258" s="101" t="s">
        <v>2247</v>
      </c>
      <c r="D258" s="9" t="s">
        <v>3073</v>
      </c>
      <c r="E258" s="30"/>
      <c r="F258" s="54" t="s">
        <v>3272</v>
      </c>
      <c r="G258" s="98" t="s">
        <v>3305</v>
      </c>
      <c r="H258" s="54"/>
      <c r="I258" s="54" t="s">
        <v>3272</v>
      </c>
      <c r="J258" s="54"/>
      <c r="K258" s="54"/>
      <c r="L258" s="54"/>
    </row>
    <row r="259" spans="1:12">
      <c r="A259" s="99" t="s">
        <v>1811</v>
      </c>
      <c r="B259" s="100" t="str">
        <f>Tabelle14[[#This Row],[Dateiname]]</f>
        <v>fernrohr</v>
      </c>
      <c r="C259" s="101" t="s">
        <v>2247</v>
      </c>
      <c r="D259" s="9" t="s">
        <v>3074</v>
      </c>
      <c r="E259" s="30"/>
      <c r="F259" s="54" t="s">
        <v>3306</v>
      </c>
      <c r="G259" s="54" t="s">
        <v>3273</v>
      </c>
      <c r="H259" s="54"/>
      <c r="I259" s="54" t="s">
        <v>3306</v>
      </c>
      <c r="J259" s="54"/>
      <c r="K259" s="54"/>
      <c r="L259" s="54"/>
    </row>
    <row r="260" spans="1:12">
      <c r="A260" s="99" t="s">
        <v>3075</v>
      </c>
      <c r="B260" s="100" t="str">
        <f>Tabelle14[[#This Row],[Dateiname]]</f>
        <v>fernglas</v>
      </c>
      <c r="C260" s="101" t="s">
        <v>2247</v>
      </c>
      <c r="D260" s="9" t="s">
        <v>3076</v>
      </c>
      <c r="E260" s="30"/>
      <c r="F260" s="54" t="s">
        <v>3289</v>
      </c>
      <c r="G260" s="54" t="s">
        <v>3307</v>
      </c>
      <c r="H260" s="54"/>
      <c r="I260" s="54" t="s">
        <v>3289</v>
      </c>
      <c r="J260" s="54"/>
      <c r="K260" s="54"/>
      <c r="L260" s="54"/>
    </row>
    <row r="261" spans="1:12">
      <c r="A261" s="99" t="s">
        <v>3077</v>
      </c>
      <c r="B261" s="100" t="str">
        <f>Tabelle14[[#This Row],[Dateiname]]</f>
        <v>gaehnen</v>
      </c>
      <c r="C261" s="101" t="s">
        <v>2247</v>
      </c>
      <c r="D261" s="9" t="s">
        <v>3078</v>
      </c>
      <c r="E261" s="30"/>
      <c r="F261" s="54" t="s">
        <v>3308</v>
      </c>
      <c r="G261" s="54" t="s">
        <v>3309</v>
      </c>
      <c r="H261" s="54"/>
      <c r="I261" s="54" t="s">
        <v>3310</v>
      </c>
      <c r="J261" s="54"/>
      <c r="K261" s="54"/>
      <c r="L261" s="54"/>
    </row>
    <row r="262" spans="1:12">
      <c r="A262" s="99" t="s">
        <v>2260</v>
      </c>
      <c r="B262" s="100" t="str">
        <f>Tabelle14[[#This Row],[Dateiname]]</f>
        <v>dschungel</v>
      </c>
      <c r="C262" s="101" t="s">
        <v>2247</v>
      </c>
      <c r="D262" s="9" t="s">
        <v>3079</v>
      </c>
      <c r="E262" s="30"/>
      <c r="F262" s="54" t="s">
        <v>3094</v>
      </c>
      <c r="G262" s="54" t="s">
        <v>3311</v>
      </c>
      <c r="H262" s="54"/>
      <c r="I262" s="54" t="s">
        <v>3290</v>
      </c>
      <c r="J262" s="54"/>
      <c r="K262" s="54"/>
      <c r="L262" s="54"/>
    </row>
    <row r="263" spans="1:12">
      <c r="A263" s="99" t="s">
        <v>1811</v>
      </c>
      <c r="B263" s="100" t="str">
        <f>Tabelle14[[#This Row],[Dateiname]]</f>
        <v>eis</v>
      </c>
      <c r="C263" s="101" t="s">
        <v>2247</v>
      </c>
      <c r="D263" s="9" t="s">
        <v>3080</v>
      </c>
      <c r="E263" s="30"/>
      <c r="F263" s="54" t="s">
        <v>3095</v>
      </c>
      <c r="G263" s="54" t="s">
        <v>3312</v>
      </c>
      <c r="H263" s="54"/>
      <c r="I263" s="54" t="s">
        <v>3291</v>
      </c>
      <c r="J263" s="54"/>
      <c r="K263" s="54"/>
      <c r="L263" s="54"/>
    </row>
    <row r="264" spans="1:12">
      <c r="A264" s="99" t="s">
        <v>48</v>
      </c>
      <c r="B264" s="100" t="str">
        <f>Tabelle14[[#This Row],[Dateiname]]</f>
        <v>thermometer</v>
      </c>
      <c r="C264" s="101" t="s">
        <v>2247</v>
      </c>
      <c r="D264" s="9" t="s">
        <v>3081</v>
      </c>
      <c r="E264" s="30"/>
      <c r="F264" s="54" t="s">
        <v>3313</v>
      </c>
      <c r="G264" s="54" t="s">
        <v>3313</v>
      </c>
      <c r="H264" s="54"/>
      <c r="I264" s="54" t="s">
        <v>3313</v>
      </c>
      <c r="J264" s="54"/>
      <c r="K264" s="54"/>
      <c r="L264" s="54"/>
    </row>
    <row r="265" spans="1:12">
      <c r="A265" s="99" t="s">
        <v>1725</v>
      </c>
      <c r="B265" s="100" t="str">
        <f>Tabelle14[[#This Row],[Dateiname]]</f>
        <v>sauna</v>
      </c>
      <c r="C265" s="101" t="s">
        <v>2247</v>
      </c>
      <c r="D265" s="9" t="s">
        <v>3082</v>
      </c>
      <c r="E265" s="30"/>
      <c r="F265" s="54" t="s">
        <v>3292</v>
      </c>
      <c r="G265" s="54" t="s">
        <v>3292</v>
      </c>
      <c r="H265" s="54"/>
      <c r="I265" s="54" t="s">
        <v>3292</v>
      </c>
      <c r="J265" s="54"/>
      <c r="K265" s="54"/>
      <c r="L265" s="54"/>
    </row>
    <row r="266" spans="1:12">
      <c r="A266" s="99" t="s">
        <v>3083</v>
      </c>
      <c r="B266" s="100" t="str">
        <f>Tabelle14[[#This Row],[Dateiname]]</f>
        <v>kasse</v>
      </c>
      <c r="C266" s="101" t="s">
        <v>2247</v>
      </c>
      <c r="D266" s="9" t="s">
        <v>3084</v>
      </c>
      <c r="E266" s="30"/>
      <c r="F266" s="54" t="s">
        <v>3314</v>
      </c>
      <c r="G266" s="54" t="s">
        <v>3315</v>
      </c>
      <c r="H266" s="54"/>
      <c r="I266" s="54" t="s">
        <v>3314</v>
      </c>
      <c r="J266" s="54"/>
      <c r="K266" s="54"/>
      <c r="L266" s="54"/>
    </row>
    <row r="267" spans="1:12">
      <c r="A267" s="99" t="s">
        <v>3085</v>
      </c>
      <c r="B267" s="100" t="str">
        <f>Tabelle14[[#This Row],[Dateiname]]</f>
        <v>chor</v>
      </c>
      <c r="C267" s="101" t="s">
        <v>2247</v>
      </c>
      <c r="D267" s="9" t="s">
        <v>3086</v>
      </c>
      <c r="E267" s="30"/>
      <c r="F267" s="54" t="s">
        <v>3096</v>
      </c>
      <c r="G267" s="54" t="s">
        <v>3316</v>
      </c>
      <c r="H267" s="54"/>
      <c r="I267" s="54" t="s">
        <v>3293</v>
      </c>
      <c r="J267" s="54"/>
      <c r="K267" s="54"/>
      <c r="L267" s="54"/>
    </row>
    <row r="268" spans="1:12">
      <c r="A268" s="99" t="s">
        <v>3087</v>
      </c>
      <c r="B268" s="100" t="str">
        <f>Tabelle14[[#This Row],[Dateiname]]</f>
        <v>skateboard</v>
      </c>
      <c r="C268" s="101" t="s">
        <v>2247</v>
      </c>
      <c r="D268" s="9" t="s">
        <v>3088</v>
      </c>
      <c r="E268" s="30"/>
      <c r="F268" s="54" t="s">
        <v>3317</v>
      </c>
      <c r="G268" s="54" t="s">
        <v>3317</v>
      </c>
      <c r="H268" s="54"/>
      <c r="I268" s="54" t="s">
        <v>3317</v>
      </c>
      <c r="J268" s="54"/>
      <c r="K268" s="54"/>
      <c r="L268" s="54"/>
    </row>
    <row r="269" spans="1:12">
      <c r="A269" s="99" t="s">
        <v>3281</v>
      </c>
      <c r="B269" s="100" t="str">
        <f>Tabelle14[[#This Row],[Dateiname]]</f>
        <v>waage</v>
      </c>
      <c r="C269" s="101" t="s">
        <v>2247</v>
      </c>
      <c r="D269" s="9" t="s">
        <v>3280</v>
      </c>
      <c r="E269" s="30"/>
      <c r="F269" s="54" t="s">
        <v>425</v>
      </c>
      <c r="G269" s="54" t="s">
        <v>3282</v>
      </c>
      <c r="H269" s="54"/>
      <c r="I269" s="54" t="s">
        <v>425</v>
      </c>
      <c r="J269" s="54"/>
      <c r="K269" s="54"/>
      <c r="L269" s="54"/>
    </row>
    <row r="270" spans="1:12">
      <c r="A270" s="99" t="s">
        <v>1585</v>
      </c>
      <c r="B270" s="100" t="str">
        <f>Tabelle14[[#This Row],[Dateiname]]</f>
        <v>gerechtigkeit</v>
      </c>
      <c r="C270" s="101" t="s">
        <v>2247</v>
      </c>
      <c r="D270" s="9" t="s">
        <v>3283</v>
      </c>
      <c r="E270" s="30"/>
      <c r="F270" s="54" t="s">
        <v>3241</v>
      </c>
      <c r="G270" s="54" t="s">
        <v>3284</v>
      </c>
      <c r="H270" s="54"/>
      <c r="I270" s="54" t="s">
        <v>3241</v>
      </c>
      <c r="J270" s="54"/>
      <c r="K270" s="54"/>
      <c r="L270" s="54"/>
    </row>
    <row r="271" spans="1:12">
      <c r="A271" s="6" t="s">
        <v>48</v>
      </c>
      <c r="B271" s="7" t="str">
        <f>Tabelle14[[#This Row],[Dateiname]]</f>
        <v>pegasus</v>
      </c>
      <c r="C271" s="2" t="s">
        <v>2247</v>
      </c>
      <c r="D271" s="9" t="s">
        <v>3320</v>
      </c>
      <c r="E271" s="30"/>
      <c r="F271" t="s">
        <v>3321</v>
      </c>
      <c r="G271" t="s">
        <v>3321</v>
      </c>
      <c r="I271" t="s">
        <v>3321</v>
      </c>
      <c r="L271" t="s">
        <v>3322</v>
      </c>
    </row>
  </sheetData>
  <conditionalFormatting sqref="F1 H3:H22 H26:H121 F3:F125 F127:F136 I127:I136 F152:F1048576">
    <cfRule type="containsText" dxfId="20" priority="8" operator="containsText" text="ß">
      <formula>NOT(ISERROR(SEARCH("ß",F1)))</formula>
    </cfRule>
  </conditionalFormatting>
  <conditionalFormatting sqref="E3:E22 O13:O24 E27:E136 E152:E1048576">
    <cfRule type="cellIs" dxfId="19" priority="7" operator="equal">
      <formula>"NEU"</formula>
    </cfRule>
  </conditionalFormatting>
  <conditionalFormatting sqref="I152:I1048576 I3:I121 I1">
    <cfRule type="duplicateValues" dxfId="18" priority="5"/>
  </conditionalFormatting>
  <conditionalFormatting sqref="G83">
    <cfRule type="duplicateValues" dxfId="17" priority="3"/>
  </conditionalFormatting>
  <conditionalFormatting sqref="E1">
    <cfRule type="containsText" dxfId="16" priority="2" operator="containsText" text="ß">
      <formula>NOT(ISERROR(SEARCH("ß",E1)))</formula>
    </cfRule>
  </conditionalFormatting>
  <conditionalFormatting sqref="I122:I125">
    <cfRule type="containsText" dxfId="1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2989</v>
      </c>
      <c r="D4" s="56" t="s">
        <v>2990</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G30" sqref="G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2467</v>
      </c>
      <c r="B38" t="s">
        <v>2468</v>
      </c>
      <c r="C38" t="s">
        <v>1811</v>
      </c>
      <c r="D38" s="11" t="s">
        <v>2469</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M81"/>
  <sheetViews>
    <sheetView windowProtection="1" zoomScale="90" zoomScaleNormal="90" workbookViewId="0">
      <pane ySplit="1" topLeftCell="A50" activePane="bottomLeft" state="frozen"/>
      <selection pane="bottomLeft" activeCell="D54" sqref="D54"/>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2375</v>
      </c>
      <c r="G1" s="95" t="s">
        <v>2417</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2386</v>
      </c>
      <c r="E3" s="65" t="s">
        <v>3167</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2416</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3166</v>
      </c>
      <c r="C8" s="65" t="s">
        <v>2162</v>
      </c>
      <c r="D8" s="35" t="s">
        <v>3165</v>
      </c>
      <c r="E8" s="65" t="s">
        <v>2415</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3164</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2414</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2413</v>
      </c>
      <c r="H11" s="91"/>
      <c r="J11">
        <f t="shared" si="0"/>
        <v>19</v>
      </c>
      <c r="K11">
        <f t="shared" si="1"/>
        <v>19</v>
      </c>
      <c r="L11">
        <f t="shared" si="2"/>
        <v>44</v>
      </c>
      <c r="M11">
        <f t="shared" si="3"/>
        <v>51</v>
      </c>
    </row>
    <row r="12" spans="1:13" s="34" customFormat="1" ht="60">
      <c r="A12" s="107"/>
      <c r="B12" s="93" t="s">
        <v>2200</v>
      </c>
      <c r="C12" s="93" t="s">
        <v>2201</v>
      </c>
      <c r="D12" s="91" t="s">
        <v>3163</v>
      </c>
      <c r="E12" s="91" t="s">
        <v>3175</v>
      </c>
      <c r="F12" s="92"/>
      <c r="G12" s="91"/>
      <c r="H12" s="91" t="s">
        <v>3162</v>
      </c>
      <c r="J12">
        <f t="shared" si="0"/>
        <v>14</v>
      </c>
      <c r="K12">
        <f t="shared" si="1"/>
        <v>9</v>
      </c>
      <c r="L12">
        <f t="shared" si="2"/>
        <v>167</v>
      </c>
      <c r="M12">
        <f t="shared" si="3"/>
        <v>182</v>
      </c>
    </row>
    <row r="13" spans="1:13" s="34" customFormat="1" ht="30">
      <c r="A13" s="57"/>
      <c r="B13" s="65" t="s">
        <v>3161</v>
      </c>
      <c r="C13" s="65" t="s">
        <v>2825</v>
      </c>
      <c r="D13" s="91" t="s">
        <v>3160</v>
      </c>
      <c r="E13" s="91" t="s">
        <v>3159</v>
      </c>
      <c r="F13" s="92"/>
      <c r="G13" s="91"/>
      <c r="H13" s="91" t="s">
        <v>3158</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3157</v>
      </c>
      <c r="E18" s="65" t="s">
        <v>3156</v>
      </c>
      <c r="F18" s="66"/>
      <c r="G18" s="65"/>
      <c r="H18" s="65"/>
      <c r="J18">
        <f t="shared" si="5"/>
        <v>18</v>
      </c>
      <c r="K18">
        <f t="shared" si="5"/>
        <v>18</v>
      </c>
      <c r="L18">
        <f t="shared" si="4"/>
        <v>32</v>
      </c>
      <c r="M18">
        <f t="shared" si="4"/>
        <v>37</v>
      </c>
    </row>
    <row r="19" spans="1:13" ht="15" customHeight="1">
      <c r="A19" s="109"/>
      <c r="B19" s="35" t="s">
        <v>2157</v>
      </c>
      <c r="C19" s="65" t="s">
        <v>2135</v>
      </c>
      <c r="D19" s="35" t="s">
        <v>3155</v>
      </c>
      <c r="E19" s="87" t="s">
        <v>3154</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3153</v>
      </c>
      <c r="C23" s="87" t="s">
        <v>3152</v>
      </c>
      <c r="D23" s="65" t="s">
        <v>3151</v>
      </c>
      <c r="E23" s="65" t="s">
        <v>3150</v>
      </c>
      <c r="F23" s="66" t="s">
        <v>2390</v>
      </c>
      <c r="G23" s="65"/>
      <c r="H23" s="65" t="s">
        <v>3149</v>
      </c>
    </row>
    <row r="24" spans="1:13">
      <c r="A24" s="109"/>
      <c r="B24" s="35" t="s">
        <v>2222</v>
      </c>
      <c r="C24" s="65" t="s">
        <v>2173</v>
      </c>
      <c r="D24" s="35" t="s">
        <v>2174</v>
      </c>
      <c r="E24" s="87" t="s">
        <v>2175</v>
      </c>
      <c r="F24" s="89" t="s">
        <v>2390</v>
      </c>
      <c r="G24" s="87"/>
      <c r="H24" s="65" t="s">
        <v>2412</v>
      </c>
      <c r="J24">
        <f t="shared" ref="J24:M30" si="6">IF(B24=0,"",LEN(B24))</f>
        <v>15</v>
      </c>
      <c r="K24">
        <f t="shared" si="6"/>
        <v>11</v>
      </c>
      <c r="L24">
        <f t="shared" si="6"/>
        <v>41</v>
      </c>
      <c r="M24">
        <f t="shared" si="6"/>
        <v>52</v>
      </c>
    </row>
    <row r="25" spans="1:13">
      <c r="A25" s="109"/>
      <c r="B25" s="47" t="s">
        <v>2152</v>
      </c>
      <c r="C25" s="84" t="s">
        <v>2138</v>
      </c>
      <c r="D25" s="35" t="s">
        <v>2411</v>
      </c>
      <c r="E25" s="65" t="s">
        <v>2410</v>
      </c>
      <c r="F25" s="66"/>
      <c r="G25" s="65" t="s">
        <v>2151</v>
      </c>
      <c r="H25" s="65"/>
      <c r="J25">
        <f t="shared" si="6"/>
        <v>16</v>
      </c>
      <c r="K25">
        <f t="shared" si="6"/>
        <v>15</v>
      </c>
      <c r="L25">
        <f t="shared" si="6"/>
        <v>52</v>
      </c>
      <c r="M25">
        <f t="shared" si="6"/>
        <v>53</v>
      </c>
    </row>
    <row r="26" spans="1:13">
      <c r="A26" s="109"/>
      <c r="B26" s="35" t="s">
        <v>2149</v>
      </c>
      <c r="C26" s="65" t="s">
        <v>2149</v>
      </c>
      <c r="D26" s="35" t="s">
        <v>3148</v>
      </c>
      <c r="E26" s="65" t="s">
        <v>3147</v>
      </c>
      <c r="F26" s="66"/>
      <c r="G26" s="65"/>
      <c r="H26" s="65"/>
      <c r="J26">
        <f t="shared" si="6"/>
        <v>8</v>
      </c>
      <c r="K26">
        <f t="shared" si="6"/>
        <v>8</v>
      </c>
      <c r="L26">
        <f t="shared" si="6"/>
        <v>42</v>
      </c>
      <c r="M26">
        <f t="shared" si="6"/>
        <v>53</v>
      </c>
    </row>
    <row r="27" spans="1:13">
      <c r="A27" s="110"/>
      <c r="B27" s="47" t="s">
        <v>3146</v>
      </c>
      <c r="C27" s="84" t="s">
        <v>2202</v>
      </c>
      <c r="D27" s="35" t="s">
        <v>2227</v>
      </c>
      <c r="E27" s="65" t="s">
        <v>2224</v>
      </c>
      <c r="F27" s="66"/>
      <c r="G27" s="65"/>
      <c r="H27" s="65"/>
      <c r="J27">
        <f t="shared" si="6"/>
        <v>19</v>
      </c>
      <c r="K27">
        <f t="shared" si="6"/>
        <v>20</v>
      </c>
      <c r="L27">
        <f t="shared" si="6"/>
        <v>42</v>
      </c>
      <c r="M27">
        <f t="shared" si="6"/>
        <v>43</v>
      </c>
    </row>
    <row r="28" spans="1:13">
      <c r="A28" s="88"/>
      <c r="B28" s="87" t="s">
        <v>3145</v>
      </c>
      <c r="C28" s="87" t="s">
        <v>3144</v>
      </c>
      <c r="D28" s="65" t="s">
        <v>3143</v>
      </c>
      <c r="E28" s="65" t="s">
        <v>3142</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3141</v>
      </c>
      <c r="C30" s="65" t="s">
        <v>3176</v>
      </c>
      <c r="D30" s="65" t="s">
        <v>3140</v>
      </c>
      <c r="E30" s="65" t="s">
        <v>3139</v>
      </c>
      <c r="F30" s="66"/>
      <c r="G30" s="65"/>
      <c r="H30" s="65" t="s">
        <v>3138</v>
      </c>
      <c r="J30">
        <f t="shared" si="6"/>
        <v>9</v>
      </c>
      <c r="K30">
        <f t="shared" si="6"/>
        <v>26</v>
      </c>
      <c r="L30">
        <f t="shared" si="6"/>
        <v>135</v>
      </c>
      <c r="M30">
        <f t="shared" si="6"/>
        <v>130</v>
      </c>
    </row>
    <row r="31" spans="1:13" ht="30">
      <c r="A31" s="106"/>
      <c r="B31" s="75" t="s">
        <v>3137</v>
      </c>
      <c r="C31" s="60" t="s">
        <v>3136</v>
      </c>
      <c r="D31" s="65" t="s">
        <v>3135</v>
      </c>
      <c r="E31" s="65" t="s">
        <v>3134</v>
      </c>
      <c r="F31" s="66"/>
      <c r="G31" s="65"/>
      <c r="H31" s="65" t="s">
        <v>2409</v>
      </c>
      <c r="J31">
        <f>IF(B32=0,"",LEN(B32))</f>
        <v>16</v>
      </c>
      <c r="K31">
        <f>IF(C32=0,"",LEN(C32))</f>
        <v>16</v>
      </c>
      <c r="L31">
        <f>IF(D31=0,"",LEN(D31))</f>
        <v>75</v>
      </c>
      <c r="M31">
        <f>IF(E31=0,"",LEN(E31))</f>
        <v>79</v>
      </c>
    </row>
    <row r="32" spans="1:13" ht="30">
      <c r="A32" s="106"/>
      <c r="B32" s="65" t="s">
        <v>3133</v>
      </c>
      <c r="C32" s="65" t="s">
        <v>3132</v>
      </c>
      <c r="D32" s="65"/>
      <c r="E32" s="65" t="s">
        <v>3131</v>
      </c>
      <c r="F32" s="66"/>
      <c r="G32" s="65"/>
      <c r="H32" s="65" t="s">
        <v>2408</v>
      </c>
      <c r="J32" t="e">
        <f>IF(#REF!=0,"",LEN(#REF!))</f>
        <v>#REF!</v>
      </c>
      <c r="K32" t="e">
        <f>IF(#REF!=0,"",LEN(#REF!))</f>
        <v>#REF!</v>
      </c>
      <c r="L32" t="str">
        <f>IF(D32=0,"",LEN(D32))</f>
        <v/>
      </c>
      <c r="M32">
        <f>IF(E32=0,"",LEN(E32))</f>
        <v>62</v>
      </c>
    </row>
    <row r="33" spans="1:13" ht="30">
      <c r="A33" s="106"/>
      <c r="B33" s="65" t="s">
        <v>3130</v>
      </c>
      <c r="C33" s="65" t="s">
        <v>3129</v>
      </c>
      <c r="D33" s="85"/>
      <c r="E33" s="85" t="s">
        <v>3128</v>
      </c>
      <c r="F33" s="86"/>
      <c r="G33" s="85"/>
      <c r="H33" s="65" t="s">
        <v>3127</v>
      </c>
      <c r="M33">
        <f>IF(E34=0,"",LEN(E34))</f>
        <v>123</v>
      </c>
    </row>
    <row r="34" spans="1:13" ht="45">
      <c r="A34" s="106"/>
      <c r="B34" s="84" t="s">
        <v>2203</v>
      </c>
      <c r="C34" s="83" t="s">
        <v>2204</v>
      </c>
      <c r="D34" s="82"/>
      <c r="E34" s="65" t="s">
        <v>3126</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2439</v>
      </c>
      <c r="C36" s="70" t="s">
        <v>3177</v>
      </c>
      <c r="D36" s="60" t="s">
        <v>2336</v>
      </c>
      <c r="E36" s="70" t="s">
        <v>2335</v>
      </c>
      <c r="F36" s="80"/>
      <c r="G36" s="70"/>
      <c r="H36" s="70"/>
    </row>
    <row r="37" spans="1:13">
      <c r="A37" s="44"/>
      <c r="B37" s="65" t="s">
        <v>2182</v>
      </c>
      <c r="C37" s="65" t="s">
        <v>2183</v>
      </c>
      <c r="D37" s="65" t="s">
        <v>3125</v>
      </c>
      <c r="E37" s="65" t="s">
        <v>3124</v>
      </c>
      <c r="F37" s="66"/>
      <c r="G37" s="65" t="s">
        <v>2459</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3178</v>
      </c>
      <c r="D38" s="60" t="s">
        <v>2385</v>
      </c>
      <c r="E38" s="70" t="s">
        <v>2384</v>
      </c>
      <c r="F38" s="80"/>
      <c r="G38" s="65"/>
      <c r="H38" s="49"/>
      <c r="J38">
        <f t="shared" si="7"/>
        <v>18</v>
      </c>
      <c r="K38">
        <f t="shared" si="8"/>
        <v>27</v>
      </c>
      <c r="L38">
        <f t="shared" si="9"/>
        <v>145</v>
      </c>
      <c r="M38">
        <f t="shared" si="10"/>
        <v>169</v>
      </c>
    </row>
    <row r="39" spans="1:13" ht="15" customHeight="1">
      <c r="A39" s="111" t="s">
        <v>2343</v>
      </c>
      <c r="B39" s="65" t="s">
        <v>2184</v>
      </c>
      <c r="C39" s="65" t="s">
        <v>2185</v>
      </c>
      <c r="D39" s="65" t="s">
        <v>3123</v>
      </c>
      <c r="E39" s="65" t="s">
        <v>2342</v>
      </c>
      <c r="F39" s="65"/>
      <c r="G39" s="65" t="s">
        <v>2459</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2459</v>
      </c>
      <c r="H40" s="38" t="s">
        <v>2178</v>
      </c>
      <c r="J40">
        <f t="shared" si="7"/>
        <v>17</v>
      </c>
      <c r="K40">
        <f t="shared" si="8"/>
        <v>18</v>
      </c>
      <c r="L40">
        <f t="shared" si="9"/>
        <v>51</v>
      </c>
      <c r="M40">
        <f t="shared" si="10"/>
        <v>54</v>
      </c>
    </row>
    <row r="41" spans="1:13">
      <c r="A41" s="111"/>
      <c r="B41" s="65" t="s">
        <v>2440</v>
      </c>
      <c r="C41" s="65" t="s">
        <v>2440</v>
      </c>
      <c r="D41" s="65" t="s">
        <v>3122</v>
      </c>
      <c r="E41" s="65" t="s">
        <v>3121</v>
      </c>
      <c r="F41" s="66"/>
      <c r="G41" s="65" t="s">
        <v>2459</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2459</v>
      </c>
      <c r="H42" s="65"/>
      <c r="J42">
        <f t="shared" si="7"/>
        <v>4</v>
      </c>
      <c r="K42">
        <f t="shared" si="8"/>
        <v>23</v>
      </c>
      <c r="L42">
        <f t="shared" si="9"/>
        <v>84</v>
      </c>
      <c r="M42">
        <f t="shared" si="10"/>
        <v>84</v>
      </c>
    </row>
    <row r="43" spans="1:13">
      <c r="A43" s="111"/>
      <c r="B43" s="65" t="s">
        <v>2441</v>
      </c>
      <c r="C43" s="65" t="s">
        <v>2442</v>
      </c>
      <c r="D43" s="65" t="s">
        <v>2464</v>
      </c>
      <c r="E43" s="65" t="s">
        <v>3179</v>
      </c>
      <c r="F43" s="66"/>
      <c r="G43" s="65" t="s">
        <v>2459</v>
      </c>
      <c r="H43" s="79"/>
      <c r="J43">
        <f t="shared" si="7"/>
        <v>16</v>
      </c>
      <c r="K43">
        <f t="shared" si="8"/>
        <v>13</v>
      </c>
      <c r="L43">
        <f t="shared" si="9"/>
        <v>40</v>
      </c>
      <c r="M43">
        <f t="shared" si="10"/>
        <v>52</v>
      </c>
    </row>
    <row r="44" spans="1:13">
      <c r="A44" s="111"/>
      <c r="B44" s="65" t="s">
        <v>2179</v>
      </c>
      <c r="C44" s="65" t="s">
        <v>2180</v>
      </c>
      <c r="D44" s="65" t="s">
        <v>2516</v>
      </c>
      <c r="E44" s="65" t="s">
        <v>2407</v>
      </c>
      <c r="F44" s="66"/>
      <c r="G44" s="65" t="s">
        <v>2459</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2459</v>
      </c>
      <c r="H45" s="79" t="s">
        <v>3120</v>
      </c>
      <c r="J45">
        <f t="shared" si="7"/>
        <v>12</v>
      </c>
      <c r="K45">
        <f t="shared" si="8"/>
        <v>12</v>
      </c>
      <c r="L45">
        <f t="shared" si="9"/>
        <v>49</v>
      </c>
      <c r="M45">
        <f t="shared" si="10"/>
        <v>38</v>
      </c>
    </row>
    <row r="46" spans="1:13">
      <c r="A46" s="111"/>
      <c r="B46" s="70" t="s">
        <v>2186</v>
      </c>
      <c r="C46" s="70" t="s">
        <v>2187</v>
      </c>
      <c r="D46" s="60" t="s">
        <v>2406</v>
      </c>
      <c r="E46" s="49" t="s">
        <v>2405</v>
      </c>
      <c r="F46" s="64"/>
      <c r="G46" s="65" t="s">
        <v>2459</v>
      </c>
      <c r="H46" s="49" t="s">
        <v>2188</v>
      </c>
      <c r="J46">
        <f t="shared" si="7"/>
        <v>16</v>
      </c>
      <c r="K46">
        <f t="shared" si="8"/>
        <v>11</v>
      </c>
      <c r="L46">
        <f t="shared" si="9"/>
        <v>41</v>
      </c>
      <c r="M46">
        <f t="shared" si="10"/>
        <v>49</v>
      </c>
    </row>
    <row r="47" spans="1:13">
      <c r="A47" s="111"/>
      <c r="B47" s="71" t="s">
        <v>2210</v>
      </c>
      <c r="C47" s="71" t="s">
        <v>3119</v>
      </c>
      <c r="D47" s="60" t="s">
        <v>2404</v>
      </c>
      <c r="E47" s="60" t="s">
        <v>2403</v>
      </c>
      <c r="F47" s="61"/>
      <c r="G47" s="65" t="s">
        <v>2459</v>
      </c>
      <c r="H47" s="70" t="s">
        <v>2402</v>
      </c>
      <c r="J47">
        <f t="shared" si="7"/>
        <v>5</v>
      </c>
      <c r="K47">
        <f t="shared" si="8"/>
        <v>5</v>
      </c>
      <c r="L47">
        <f t="shared" si="9"/>
        <v>20</v>
      </c>
      <c r="M47">
        <f t="shared" si="10"/>
        <v>24</v>
      </c>
    </row>
    <row r="48" spans="1:13" ht="30">
      <c r="A48" s="111"/>
      <c r="B48" s="71" t="s">
        <v>2211</v>
      </c>
      <c r="C48" s="71" t="s">
        <v>3118</v>
      </c>
      <c r="D48" s="60" t="s">
        <v>2401</v>
      </c>
      <c r="E48" s="60" t="s">
        <v>2400</v>
      </c>
      <c r="F48" s="61"/>
      <c r="G48" s="65" t="s">
        <v>2460</v>
      </c>
      <c r="H48" s="49"/>
      <c r="J48">
        <f t="shared" si="7"/>
        <v>4</v>
      </c>
      <c r="K48">
        <f t="shared" si="8"/>
        <v>5</v>
      </c>
      <c r="L48">
        <f t="shared" si="9"/>
        <v>23</v>
      </c>
      <c r="M48">
        <f t="shared" si="10"/>
        <v>25</v>
      </c>
    </row>
    <row r="49" spans="1:13" ht="30">
      <c r="A49" s="111"/>
      <c r="B49" s="71" t="s">
        <v>2212</v>
      </c>
      <c r="C49" s="71" t="s">
        <v>2212</v>
      </c>
      <c r="D49" s="60" t="s">
        <v>2399</v>
      </c>
      <c r="E49" s="60" t="s">
        <v>2339</v>
      </c>
      <c r="F49" s="61"/>
      <c r="G49" s="65" t="s">
        <v>2461</v>
      </c>
      <c r="H49" s="49"/>
      <c r="J49">
        <f t="shared" si="7"/>
        <v>8</v>
      </c>
      <c r="K49">
        <f t="shared" si="8"/>
        <v>8</v>
      </c>
      <c r="L49">
        <f t="shared" si="9"/>
        <v>26</v>
      </c>
      <c r="M49">
        <f t="shared" si="10"/>
        <v>23</v>
      </c>
    </row>
    <row r="50" spans="1:13" ht="30" customHeight="1">
      <c r="A50" s="111"/>
      <c r="B50" s="71" t="s">
        <v>2232</v>
      </c>
      <c r="C50" s="71" t="s">
        <v>2233</v>
      </c>
      <c r="D50" s="60" t="s">
        <v>2398</v>
      </c>
      <c r="E50" s="60" t="s">
        <v>2345</v>
      </c>
      <c r="F50" s="61"/>
      <c r="G50" s="65" t="s">
        <v>2462</v>
      </c>
      <c r="H50" s="49" t="s">
        <v>2344</v>
      </c>
      <c r="J50">
        <f t="shared" si="7"/>
        <v>19</v>
      </c>
      <c r="K50">
        <f t="shared" si="8"/>
        <v>21</v>
      </c>
      <c r="L50">
        <f t="shared" si="9"/>
        <v>68</v>
      </c>
      <c r="M50">
        <f t="shared" si="10"/>
        <v>77</v>
      </c>
    </row>
    <row r="51" spans="1:13">
      <c r="A51" s="111"/>
      <c r="B51" s="65" t="s">
        <v>2443</v>
      </c>
      <c r="C51" s="65" t="s">
        <v>2446</v>
      </c>
      <c r="D51" s="60" t="s">
        <v>2444</v>
      </c>
      <c r="E51" s="77" t="s">
        <v>2445</v>
      </c>
      <c r="F51" s="64"/>
      <c r="G51" s="65" t="s">
        <v>2459</v>
      </c>
      <c r="H51" s="49"/>
      <c r="J51">
        <f t="shared" si="7"/>
        <v>9</v>
      </c>
      <c r="K51">
        <f t="shared" si="8"/>
        <v>12</v>
      </c>
      <c r="L51">
        <f t="shared" si="9"/>
        <v>23</v>
      </c>
      <c r="M51">
        <f t="shared" si="10"/>
        <v>47</v>
      </c>
    </row>
    <row r="52" spans="1:13">
      <c r="A52" s="111"/>
      <c r="B52" s="65" t="s">
        <v>2447</v>
      </c>
      <c r="C52" s="65" t="s">
        <v>2447</v>
      </c>
      <c r="D52" s="60" t="s">
        <v>2448</v>
      </c>
      <c r="E52" s="77" t="s">
        <v>2449</v>
      </c>
      <c r="F52" s="64"/>
      <c r="G52" s="65" t="s">
        <v>2459</v>
      </c>
      <c r="H52" s="49"/>
      <c r="J52">
        <f t="shared" si="7"/>
        <v>8</v>
      </c>
      <c r="K52">
        <f t="shared" si="8"/>
        <v>8</v>
      </c>
      <c r="L52">
        <f t="shared" si="9"/>
        <v>33</v>
      </c>
      <c r="M52">
        <f t="shared" si="10"/>
        <v>38</v>
      </c>
    </row>
    <row r="53" spans="1:13" ht="30">
      <c r="A53" s="111"/>
      <c r="B53" s="65" t="s">
        <v>2450</v>
      </c>
      <c r="C53" s="65" t="s">
        <v>2450</v>
      </c>
      <c r="D53" s="60" t="s">
        <v>2451</v>
      </c>
      <c r="E53" s="77" t="s">
        <v>3180</v>
      </c>
      <c r="F53" s="64"/>
      <c r="G53" s="65" t="s">
        <v>2459</v>
      </c>
      <c r="H53" s="49"/>
      <c r="J53">
        <f t="shared" si="7"/>
        <v>9</v>
      </c>
      <c r="K53">
        <f t="shared" si="8"/>
        <v>9</v>
      </c>
      <c r="L53">
        <f t="shared" si="9"/>
        <v>58</v>
      </c>
      <c r="M53">
        <f t="shared" si="10"/>
        <v>80</v>
      </c>
    </row>
    <row r="54" spans="1:13" ht="30">
      <c r="A54" s="111"/>
      <c r="B54" s="65" t="s">
        <v>2457</v>
      </c>
      <c r="C54" s="65" t="s">
        <v>2452</v>
      </c>
      <c r="D54" s="60" t="s">
        <v>2453</v>
      </c>
      <c r="E54" s="77" t="s">
        <v>3181</v>
      </c>
      <c r="F54" s="64"/>
      <c r="G54" s="65" t="s">
        <v>2459</v>
      </c>
      <c r="H54" s="49"/>
      <c r="J54">
        <f t="shared" si="7"/>
        <v>13</v>
      </c>
      <c r="K54">
        <f t="shared" si="8"/>
        <v>13</v>
      </c>
      <c r="L54">
        <f t="shared" si="9"/>
        <v>52</v>
      </c>
      <c r="M54">
        <f t="shared" si="10"/>
        <v>70</v>
      </c>
    </row>
    <row r="55" spans="1:13" ht="45">
      <c r="A55" s="111"/>
      <c r="B55" s="65" t="s">
        <v>2454</v>
      </c>
      <c r="C55" s="65" t="s">
        <v>3117</v>
      </c>
      <c r="D55" s="60" t="s">
        <v>3116</v>
      </c>
      <c r="E55" s="77" t="s">
        <v>3115</v>
      </c>
      <c r="F55" s="64"/>
      <c r="G55" s="65" t="s">
        <v>2463</v>
      </c>
      <c r="H55" s="78" t="s">
        <v>3114</v>
      </c>
      <c r="J55">
        <f>IF(B55=0,"",LEN(B55))</f>
        <v>5</v>
      </c>
      <c r="K55">
        <f>IF(C55=0,"",LEN(C55))</f>
        <v>5</v>
      </c>
      <c r="L55">
        <f>IF(D55=0,"",LEN(D55))</f>
        <v>138</v>
      </c>
    </row>
    <row r="56" spans="1:13" ht="45">
      <c r="A56" s="111"/>
      <c r="B56" s="65" t="s">
        <v>2455</v>
      </c>
      <c r="C56" s="65" t="s">
        <v>2455</v>
      </c>
      <c r="D56" s="60" t="s">
        <v>2456</v>
      </c>
      <c r="E56" s="77" t="s">
        <v>3182</v>
      </c>
      <c r="F56" s="64"/>
      <c r="G56" s="60" t="s">
        <v>2458</v>
      </c>
      <c r="H56" s="49"/>
      <c r="J56">
        <f t="shared" ref="J56:J68" si="11">IF(B56=0,"",LEN(B56))</f>
        <v>10</v>
      </c>
      <c r="L56">
        <f t="shared" ref="L56:L68" si="12">IF(D56=0,"",LEN(D56))</f>
        <v>135</v>
      </c>
    </row>
    <row r="57" spans="1:13">
      <c r="B57" s="39"/>
      <c r="C57" s="39"/>
      <c r="J57" t="str">
        <f t="shared" si="11"/>
        <v/>
      </c>
      <c r="K57" t="str">
        <f t="shared" ref="K57:K68" si="13">IF(C57=0,"",LEN(C57))</f>
        <v/>
      </c>
      <c r="L57" t="str">
        <f t="shared" si="12"/>
        <v/>
      </c>
      <c r="M57" t="str">
        <f t="shared" ref="M57:M68" si="14">IF(E57=0,"",LEN(E57))</f>
        <v/>
      </c>
    </row>
    <row r="58" spans="1:13" ht="30" customHeight="1">
      <c r="A58" s="106" t="s">
        <v>2383</v>
      </c>
      <c r="B58" s="70" t="s">
        <v>3113</v>
      </c>
      <c r="C58" s="70" t="s">
        <v>3112</v>
      </c>
      <c r="D58" s="75" t="s">
        <v>3111</v>
      </c>
      <c r="E58" s="60" t="s">
        <v>3110</v>
      </c>
      <c r="F58" s="68" t="s">
        <v>2390</v>
      </c>
      <c r="G58" s="60"/>
      <c r="H58" s="76" t="s">
        <v>3109</v>
      </c>
      <c r="J58">
        <f t="shared" si="11"/>
        <v>19</v>
      </c>
      <c r="K58">
        <f t="shared" si="13"/>
        <v>26</v>
      </c>
      <c r="L58">
        <f t="shared" si="12"/>
        <v>64</v>
      </c>
      <c r="M58">
        <f t="shared" si="14"/>
        <v>71</v>
      </c>
    </row>
    <row r="59" spans="1:13" ht="30">
      <c r="A59" s="106"/>
      <c r="B59" s="71" t="s">
        <v>2379</v>
      </c>
      <c r="C59" s="71" t="s">
        <v>2378</v>
      </c>
      <c r="D59" s="75" t="s">
        <v>2377</v>
      </c>
      <c r="E59" s="60" t="s">
        <v>2376</v>
      </c>
      <c r="F59" s="68" t="s">
        <v>2390</v>
      </c>
      <c r="G59" s="60"/>
      <c r="H59" s="59"/>
      <c r="J59">
        <f t="shared" si="11"/>
        <v>15</v>
      </c>
      <c r="K59">
        <f t="shared" si="13"/>
        <v>13</v>
      </c>
      <c r="L59">
        <f t="shared" si="12"/>
        <v>79</v>
      </c>
      <c r="M59">
        <f t="shared" si="14"/>
        <v>98</v>
      </c>
    </row>
    <row r="60" spans="1:13" ht="30">
      <c r="A60" s="106"/>
      <c r="B60" s="70" t="s">
        <v>2374</v>
      </c>
      <c r="C60" s="70" t="s">
        <v>2374</v>
      </c>
      <c r="D60" s="75" t="s">
        <v>2373</v>
      </c>
      <c r="E60" s="60" t="s">
        <v>2372</v>
      </c>
      <c r="F60" s="61"/>
      <c r="G60" s="60"/>
      <c r="H60" s="49"/>
      <c r="J60">
        <f t="shared" si="11"/>
        <v>11</v>
      </c>
      <c r="K60">
        <f t="shared" si="13"/>
        <v>11</v>
      </c>
      <c r="L60">
        <f t="shared" si="12"/>
        <v>57</v>
      </c>
      <c r="M60">
        <f t="shared" si="14"/>
        <v>72</v>
      </c>
    </row>
    <row r="61" spans="1:13">
      <c r="A61" s="106"/>
      <c r="B61" s="70" t="s">
        <v>2371</v>
      </c>
      <c r="C61" s="70" t="s">
        <v>2370</v>
      </c>
      <c r="D61" s="60" t="s">
        <v>2387</v>
      </c>
      <c r="E61" s="49" t="s">
        <v>2369</v>
      </c>
      <c r="F61" s="64"/>
      <c r="G61" s="49"/>
      <c r="H61" s="49" t="s">
        <v>2368</v>
      </c>
      <c r="J61">
        <f t="shared" si="11"/>
        <v>12</v>
      </c>
      <c r="K61">
        <f t="shared" si="13"/>
        <v>11</v>
      </c>
      <c r="L61">
        <f t="shared" si="12"/>
        <v>53</v>
      </c>
      <c r="M61">
        <f t="shared" si="14"/>
        <v>62</v>
      </c>
    </row>
    <row r="62" spans="1:13" ht="15" customHeight="1">
      <c r="A62" s="106"/>
      <c r="B62" s="70" t="s">
        <v>2367</v>
      </c>
      <c r="C62" s="70" t="s">
        <v>2366</v>
      </c>
      <c r="D62" s="60" t="s">
        <v>2365</v>
      </c>
      <c r="E62" s="49" t="s">
        <v>2364</v>
      </c>
      <c r="F62" s="73" t="s">
        <v>2390</v>
      </c>
      <c r="G62" s="49"/>
      <c r="H62" s="74" t="s">
        <v>2397</v>
      </c>
      <c r="J62">
        <f t="shared" si="11"/>
        <v>19</v>
      </c>
      <c r="K62">
        <f t="shared" si="13"/>
        <v>15</v>
      </c>
      <c r="L62">
        <f t="shared" si="12"/>
        <v>51</v>
      </c>
      <c r="M62">
        <f t="shared" si="14"/>
        <v>52</v>
      </c>
    </row>
    <row r="63" spans="1:13" ht="28.5" customHeight="1">
      <c r="A63" s="106"/>
      <c r="B63" s="70" t="s">
        <v>2363</v>
      </c>
      <c r="C63" s="70" t="s">
        <v>2362</v>
      </c>
      <c r="D63" s="60" t="s">
        <v>2361</v>
      </c>
      <c r="E63" s="60" t="s">
        <v>2360</v>
      </c>
      <c r="F63" s="73" t="s">
        <v>2390</v>
      </c>
      <c r="G63" s="49" t="s">
        <v>2366</v>
      </c>
      <c r="H63" s="72" t="s">
        <v>2396</v>
      </c>
      <c r="J63">
        <f t="shared" si="11"/>
        <v>20</v>
      </c>
      <c r="K63">
        <f t="shared" si="13"/>
        <v>17</v>
      </c>
      <c r="L63">
        <f t="shared" si="12"/>
        <v>118</v>
      </c>
      <c r="M63">
        <f t="shared" si="14"/>
        <v>113</v>
      </c>
    </row>
    <row r="64" spans="1:13" ht="15" customHeight="1">
      <c r="A64" s="106"/>
      <c r="B64" s="70" t="s">
        <v>2359</v>
      </c>
      <c r="C64" s="70" t="s">
        <v>2213</v>
      </c>
      <c r="D64" s="60" t="s">
        <v>2358</v>
      </c>
      <c r="E64" s="49" t="s">
        <v>2214</v>
      </c>
      <c r="F64" s="73"/>
      <c r="G64" s="49"/>
      <c r="H64" s="49" t="s">
        <v>2357</v>
      </c>
      <c r="J64">
        <f t="shared" si="11"/>
        <v>15</v>
      </c>
      <c r="K64">
        <f t="shared" si="13"/>
        <v>20</v>
      </c>
      <c r="L64">
        <f t="shared" si="12"/>
        <v>29</v>
      </c>
      <c r="M64">
        <f t="shared" si="14"/>
        <v>39</v>
      </c>
    </row>
    <row r="65" spans="1:13" ht="30">
      <c r="A65" s="106"/>
      <c r="B65" s="71" t="s">
        <v>2219</v>
      </c>
      <c r="C65" s="71" t="s">
        <v>2219</v>
      </c>
      <c r="D65" s="60"/>
      <c r="E65" s="49"/>
      <c r="F65" s="73" t="s">
        <v>2390</v>
      </c>
      <c r="G65" s="60" t="s">
        <v>2213</v>
      </c>
      <c r="H65" s="72" t="s">
        <v>3108</v>
      </c>
      <c r="J65">
        <f t="shared" si="11"/>
        <v>40</v>
      </c>
      <c r="K65">
        <f t="shared" si="13"/>
        <v>40</v>
      </c>
      <c r="L65" t="str">
        <f t="shared" si="12"/>
        <v/>
      </c>
      <c r="M65" t="str">
        <f t="shared" si="14"/>
        <v/>
      </c>
    </row>
    <row r="66" spans="1:13">
      <c r="A66" s="106"/>
      <c r="B66" s="71" t="s">
        <v>2356</v>
      </c>
      <c r="C66" s="71" t="s">
        <v>2356</v>
      </c>
      <c r="D66" s="67" t="s">
        <v>2355</v>
      </c>
      <c r="E66" s="49" t="s">
        <v>3107</v>
      </c>
      <c r="F66" s="64"/>
      <c r="G66" s="49"/>
      <c r="H66" s="60"/>
      <c r="J66">
        <f t="shared" si="11"/>
        <v>8</v>
      </c>
      <c r="K66">
        <f t="shared" si="13"/>
        <v>8</v>
      </c>
      <c r="L66">
        <f t="shared" si="12"/>
        <v>38</v>
      </c>
      <c r="M66">
        <f t="shared" si="14"/>
        <v>45</v>
      </c>
    </row>
    <row r="67" spans="1:13" ht="45">
      <c r="A67" s="106"/>
      <c r="B67" s="70" t="s">
        <v>2382</v>
      </c>
      <c r="C67" s="70" t="s">
        <v>2381</v>
      </c>
      <c r="D67" s="60" t="s">
        <v>3106</v>
      </c>
      <c r="E67" s="60" t="s">
        <v>2380</v>
      </c>
      <c r="F67" s="61"/>
      <c r="G67" s="60"/>
      <c r="H67" s="60" t="s">
        <v>2395</v>
      </c>
      <c r="J67">
        <f t="shared" si="11"/>
        <v>16</v>
      </c>
      <c r="K67">
        <f t="shared" si="13"/>
        <v>11</v>
      </c>
      <c r="L67">
        <f t="shared" si="12"/>
        <v>69</v>
      </c>
      <c r="M67">
        <f t="shared" si="14"/>
        <v>60</v>
      </c>
    </row>
    <row r="68" spans="1:13" ht="30">
      <c r="A68" s="58"/>
      <c r="B68" s="69" t="s">
        <v>2394</v>
      </c>
      <c r="C68" s="69" t="s">
        <v>2393</v>
      </c>
      <c r="D68" s="67" t="s">
        <v>2392</v>
      </c>
      <c r="E68" s="67" t="s">
        <v>2391</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2354</v>
      </c>
      <c r="E72" s="62" t="s">
        <v>2353</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2352</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2351</v>
      </c>
      <c r="C76" s="60"/>
      <c r="D76" s="60"/>
      <c r="E76" s="60"/>
      <c r="F76" s="61"/>
      <c r="G76" s="60"/>
      <c r="H76" s="60"/>
    </row>
    <row r="77" spans="1:13">
      <c r="A77" s="106"/>
      <c r="B77" s="60" t="s">
        <v>2350</v>
      </c>
      <c r="C77" s="60" t="s">
        <v>2349</v>
      </c>
      <c r="D77" s="60" t="s">
        <v>2348</v>
      </c>
      <c r="E77" s="60" t="s">
        <v>2347</v>
      </c>
      <c r="F77" s="61" t="s">
        <v>2390</v>
      </c>
      <c r="G77" s="60"/>
      <c r="H77" s="59"/>
    </row>
    <row r="78" spans="1:13">
      <c r="B78" s="40" t="s">
        <v>2346</v>
      </c>
    </row>
    <row r="79" spans="1:13">
      <c r="C79" t="s">
        <v>2389</v>
      </c>
    </row>
    <row r="80" spans="1:13" ht="60">
      <c r="H80" s="21" t="s">
        <v>2388</v>
      </c>
    </row>
    <row r="81" spans="2:8" ht="45">
      <c r="B81" t="s">
        <v>2465</v>
      </c>
      <c r="H81" s="21" t="s">
        <v>2466</v>
      </c>
    </row>
  </sheetData>
  <mergeCells count="6">
    <mergeCell ref="A70:A77"/>
    <mergeCell ref="A2:A12"/>
    <mergeCell ref="A15:A27"/>
    <mergeCell ref="A58:A67"/>
    <mergeCell ref="A39:A56"/>
    <mergeCell ref="A30:A34"/>
  </mergeCells>
  <conditionalFormatting sqref="J1:K13 J15:K1048576">
    <cfRule type="cellIs" dxfId="9" priority="3" operator="equal">
      <formula>""</formula>
    </cfRule>
    <cfRule type="cellIs" dxfId="8" priority="4" operator="greaterThanOrEqual">
      <formula>20</formula>
    </cfRule>
  </conditionalFormatting>
  <conditionalFormatting sqref="L1:M13 L15:M1048576">
    <cfRule type="cellIs" dxfId="7" priority="1" operator="equal">
      <formula>""</formula>
    </cfRule>
    <cfRule type="cellIs" dxfId="6"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tabSelected="1" topLeftCell="A88" zoomScaleNormal="100" workbookViewId="0">
      <selection activeCell="C101" sqref="C101"/>
    </sheetView>
  </sheetViews>
  <sheetFormatPr baseColWidth="10" defaultRowHeight="15" outlineLevelCol="1"/>
  <cols>
    <col min="1" max="1" width="36.42578125" customWidth="1"/>
    <col min="2" max="2" width="52.28515625" customWidth="1"/>
    <col min="3" max="3" width="45.85546875" customWidth="1" outlineLevel="1"/>
    <col min="4" max="4" width="62" customWidth="1" outlineLevel="1"/>
    <col min="5" max="5" width="15.140625" customWidth="1" outlineLevel="1"/>
    <col min="6" max="6" width="19.5703125" customWidth="1" outlineLevel="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&lt;solutions&gt;&lt;solution&gt;&lt;tongue&gt;de&lt;/tongue&gt;&lt;word&gt;Adler&lt;/word&gt;&lt;/solution&gt;&lt;solution&gt;&lt;tongue&gt;en&lt;/tongue&gt;&lt;word&gt;eagle&lt;/word&gt;&lt;/solution&gt;&lt;/solutions&gt;</v>
      </c>
      <c r="C2" s="19" t="str">
        <f>IF(ISTEXT(Tabelle1[[#This Row],[Am.Englisch]]),"&lt;solutions&gt;&lt;solution&gt;&lt;tongue&gt;en-us&lt;/tongue&gt;&lt;word&gt;"&amp;SUBSTITUTE(Tabelle1[[#This Row],[Am.Englisch]],";","&lt;/word&gt;&lt;word&gt;")&amp;"&lt;/word&gt;&lt;/solution&gt;&lt;/solutions&gt;","")</f>
        <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2543</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&lt;solutions&gt;&lt;solution&gt;&lt;tongue&gt;de&lt;/tongue&gt;&lt;word&gt;Ahornblatt&lt;/word&gt;&lt;/solution&gt;&lt;solution&gt;&lt;tongue&gt;en&lt;/tongue&gt;&lt;word&gt;mapleleaf&lt;/word&gt;&lt;/solution&gt;&lt;/solutions&gt;</v>
      </c>
      <c r="C3" t="str">
        <f>IF(ISTEXT(Tabelle1[[#This Row],[Am.Englisch]]),"&lt;solutions&gt;&lt;solution&gt;&lt;tongue&gt;en-us&lt;/tongue&gt;&lt;word&gt;"&amp;SUBSTITUTE(Tabelle1[[#This Row],[Am.Englisch]],";","&lt;/word&gt;&lt;word&gt;")&amp;"&lt;/word&gt;&lt;/solution&gt;&lt;/solutions&gt;","")</f>
        <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2544</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&lt;solutions&gt;&lt;solution&gt;&lt;tongue&gt;de&lt;/tongue&gt;&lt;word&gt;Alien&lt;/word&gt;&lt;/solution&gt;&lt;solution&gt;&lt;tongue&gt;en&lt;/tongue&gt;&lt;word&gt;alien&lt;/word&gt;&lt;/solution&gt;&lt;/solutions&gt;</v>
      </c>
      <c r="C4" t="str">
        <f>IF(ISTEXT(Tabelle1[[#This Row],[Am.Englisch]]),"&lt;solutions&gt;&lt;solution&gt;&lt;tongue&gt;en-us&lt;/tongue&gt;&lt;word&gt;"&amp;SUBSTITUTE(Tabelle1[[#This Row],[Am.Englisch]],";","&lt;/word&gt;&lt;word&gt;")&amp;"&lt;/word&gt;&lt;/solution&gt;&lt;/solutions&gt;","")</f>
        <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2545</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&lt;solutions&gt;&lt;solution&gt;&lt;tongue&gt;de&lt;/tongue&gt;&lt;word&gt;Ampel&lt;/word&gt;&lt;/solution&gt;&lt;solution&gt;&lt;tongue&gt;en&lt;/tongue&gt;&lt;word&gt;trafficlight&lt;/word&gt;&lt;/solution&gt;&lt;/solutions&gt;</v>
      </c>
      <c r="C5" t="str">
        <f>IF(ISTEXT(Tabelle1[[#This Row],[Am.Englisch]]),"&lt;solutions&gt;&lt;solution&gt;&lt;tongue&gt;en-us&lt;/tongue&gt;&lt;word&gt;"&amp;SUBSTITUTE(Tabelle1[[#This Row],[Am.Englisch]],";","&lt;/word&gt;&lt;word&gt;")&amp;"&lt;/word&gt;&lt;/solution&gt;&lt;/solutions&gt;","")</f>
        <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2546</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&lt;solutions&gt;&lt;solution&gt;&lt;tongue&gt;de&lt;/tongue&gt;&lt;word&gt;Amsel&lt;/word&gt;&lt;/solution&gt;&lt;solution&gt;&lt;tongue&gt;en&lt;/tongue&gt;&lt;word&gt;blackbird&lt;/word&gt;&lt;/solution&gt;&lt;/solutions&gt;</v>
      </c>
      <c r="C6" t="str">
        <f>IF(ISTEXT(Tabelle1[[#This Row],[Am.Englisch]]),"&lt;solutions&gt;&lt;solution&gt;&lt;tongue&gt;en-us&lt;/tongue&gt;&lt;word&gt;"&amp;SUBSTITUTE(Tabelle1[[#This Row],[Am.Englisch]],";","&lt;/word&gt;&lt;word&gt;")&amp;"&lt;/word&gt;&lt;/solution&gt;&lt;/solutions&gt;","")</f>
        <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2547</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&lt;solutions&gt;&lt;solution&gt;&lt;tongue&gt;de&lt;/tongue&gt;&lt;word&gt;Ananas&lt;/word&gt;&lt;/solution&gt;&lt;solution&gt;&lt;tongue&gt;en&lt;/tongue&gt;&lt;word&gt;pineapple&lt;/word&gt;&lt;/solution&gt;&lt;/solutions&gt;</v>
      </c>
      <c r="C7" t="str">
        <f>IF(ISTEXT(Tabelle1[[#This Row],[Am.Englisch]]),"&lt;solutions&gt;&lt;solution&gt;&lt;tongue&gt;en-us&lt;/tongue&gt;&lt;word&gt;"&amp;SUBSTITUTE(Tabelle1[[#This Row],[Am.Englisch]],";","&lt;/word&gt;&lt;word&gt;")&amp;"&lt;/word&gt;&lt;/solution&gt;&lt;/solutions&gt;","")</f>
        <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2548</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&lt;solutions&gt;&lt;solution&gt;&lt;tongue&gt;de&lt;/tongue&gt;&lt;word&gt;Anker&lt;/word&gt;&lt;/solution&gt;&lt;solution&gt;&lt;tongue&gt;en&lt;/tongue&gt;&lt;word&gt;anchor&lt;/word&gt;&lt;/solution&gt;&lt;/solutions&gt;</v>
      </c>
      <c r="C8" t="str">
        <f>IF(ISTEXT(Tabelle1[[#This Row],[Am.Englisch]]),"&lt;solutions&gt;&lt;solution&gt;&lt;tongue&gt;en-us&lt;/tongue&gt;&lt;word&gt;"&amp;SUBSTITUTE(Tabelle1[[#This Row],[Am.Englisch]],";","&lt;/word&gt;&lt;word&gt;")&amp;"&lt;/word&gt;&lt;/solution&gt;&lt;/solutions&gt;","")</f>
        <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2549</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&lt;solutions&gt;&lt;solution&gt;&lt;tongue&gt;de&lt;/tongue&gt;&lt;word&gt;Apfel&lt;/word&gt;&lt;/solution&gt;&lt;solution&gt;&lt;tongue&gt;en&lt;/tongue&gt;&lt;word&gt;apple&lt;/word&gt;&lt;/solution&gt;&lt;/solutions&gt;</v>
      </c>
      <c r="C9" t="str">
        <f>IF(ISTEXT(Tabelle1[[#This Row],[Am.Englisch]]),"&lt;solutions&gt;&lt;solution&gt;&lt;tongue&gt;en-us&lt;/tongue&gt;&lt;word&gt;"&amp;SUBSTITUTE(Tabelle1[[#This Row],[Am.Englisch]],";","&lt;/word&gt;&lt;word&gt;")&amp;"&lt;/word&gt;&lt;/solution&gt;&lt;/solutions&gt;","")</f>
        <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2550</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&lt;solutions&gt;&lt;solution&gt;&lt;tongue&gt;de&lt;/tongue&gt;&lt;word&gt;Auge&lt;/word&gt;&lt;/solution&gt;&lt;solution&gt;&lt;tongue&gt;en&lt;/tongue&gt;&lt;word&gt;eye&lt;/word&gt;&lt;/solution&gt;&lt;/solutions&gt;</v>
      </c>
      <c r="C10" t="str">
        <f>IF(ISTEXT(Tabelle1[[#This Row],[Am.Englisch]]),"&lt;solutions&gt;&lt;solution&gt;&lt;tongue&gt;en-us&lt;/tongue&gt;&lt;word&gt;"&amp;SUBSTITUTE(Tabelle1[[#This Row],[Am.Englisch]],";","&lt;/word&gt;&lt;word&gt;")&amp;"&lt;/word&gt;&lt;/solution&gt;&lt;/solutions&gt;","")</f>
        <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2551</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&lt;solutions&gt;&lt;solution&gt;&lt;tongue&gt;de&lt;/tongue&gt;&lt;word&gt;Auto&lt;/word&gt;&lt;/solution&gt;&lt;solution&gt;&lt;tongue&gt;en&lt;/tongue&gt;&lt;word&gt;car&lt;/word&gt;&lt;/solution&gt;&lt;/solutions&gt;</v>
      </c>
      <c r="C11" t="str">
        <f>IF(ISTEXT(Tabelle1[[#This Row],[Am.Englisch]]),"&lt;solutions&gt;&lt;solution&gt;&lt;tongue&gt;en-us&lt;/tongue&gt;&lt;word&gt;"&amp;SUBSTITUTE(Tabelle1[[#This Row],[Am.Englisch]],";","&lt;/word&gt;&lt;word&gt;")&amp;"&lt;/word&gt;&lt;/solution&gt;&lt;/solutions&gt;","")</f>
        <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2552</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&lt;solutions&gt;&lt;solution&gt;&lt;tongue&gt;de&lt;/tongue&gt;&lt;word&gt;Baby&lt;/word&gt;&lt;/solution&gt;&lt;solution&gt;&lt;tongue&gt;en&lt;/tongue&gt;&lt;word&gt;baby&lt;/word&gt;&lt;/solution&gt;&lt;/solutions&gt;</v>
      </c>
      <c r="C12" t="str">
        <f>IF(ISTEXT(Tabelle1[[#This Row],[Am.Englisch]]),"&lt;solutions&gt;&lt;solution&gt;&lt;tongue&gt;en-us&lt;/tongue&gt;&lt;word&gt;"&amp;SUBSTITUTE(Tabelle1[[#This Row],[Am.Englisch]],";","&lt;/word&gt;&lt;word&gt;")&amp;"&lt;/word&gt;&lt;/solution&gt;&lt;/solutions&gt;","")</f>
        <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2553</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&lt;solutions&gt;&lt;solution&gt;&lt;tongue&gt;de&lt;/tongue&gt;&lt;word&gt;Luftballon&lt;/word&gt;&lt;/solution&gt;&lt;solution&gt;&lt;tongue&gt;en&lt;/tongue&gt;&lt;word&gt;balloons&lt;/word&gt;&lt;/solution&gt;&lt;/solutions&gt;</v>
      </c>
      <c r="C13" t="str">
        <f>IF(ISTEXT(Tabelle1[[#This Row],[Am.Englisch]]),"&lt;solutions&gt;&lt;solution&gt;&lt;tongue&gt;en-us&lt;/tongue&gt;&lt;word&gt;"&amp;SUBSTITUTE(Tabelle1[[#This Row],[Am.Englisch]],";","&lt;/word&gt;&lt;word&gt;")&amp;"&lt;/word&gt;&lt;/solution&gt;&lt;/solutions&gt;","")</f>
        <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2554</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&lt;solutions&gt;&lt;solution&gt;&lt;tongue&gt;de&lt;/tongue&gt;&lt;word&gt;Banane&lt;/word&gt;&lt;/solution&gt;&lt;solution&gt;&lt;tongue&gt;en&lt;/tongue&gt;&lt;word&gt;banana&lt;/word&gt;&lt;/solution&gt;&lt;/solutions&gt;</v>
      </c>
      <c r="C14" t="str">
        <f>IF(ISTEXT(Tabelle1[[#This Row],[Am.Englisch]]),"&lt;solutions&gt;&lt;solution&gt;&lt;tongue&gt;en-us&lt;/tongue&gt;&lt;word&gt;"&amp;SUBSTITUTE(Tabelle1[[#This Row],[Am.Englisch]],";","&lt;/word&gt;&lt;word&gt;")&amp;"&lt;/word&gt;&lt;/solution&gt;&lt;/solutions&gt;","")</f>
        <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2555</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&lt;solutions&gt;&lt;solution&gt;&lt;tongue&gt;de&lt;/tongue&gt;&lt;word&gt;Bank&lt;/word&gt;&lt;/solution&gt;&lt;solution&gt;&lt;tongue&gt;en&lt;/tongue&gt;&lt;word&gt;bench&lt;/word&gt;&lt;/solution&gt;&lt;/solutions&gt;</v>
      </c>
      <c r="C15" t="str">
        <f>IF(ISTEXT(Tabelle1[[#This Row],[Am.Englisch]]),"&lt;solutions&gt;&lt;solution&gt;&lt;tongue&gt;en-us&lt;/tongue&gt;&lt;word&gt;"&amp;SUBSTITUTE(Tabelle1[[#This Row],[Am.Englisch]],";","&lt;/word&gt;&lt;word&gt;")&amp;"&lt;/word&gt;&lt;/solution&gt;&lt;/solutions&gt;","")</f>
        <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2556</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&lt;solutions&gt;&lt;solution&gt;&lt;tongue&gt;de&lt;/tongue&gt;&lt;word&gt;Schnurrbart&lt;/word&gt;&lt;/solution&gt;&lt;solution&gt;&lt;tongue&gt;en&lt;/tongue&gt;&lt;word&gt;moustache&lt;/word&gt;&lt;/solution&gt;&lt;/solutions&gt;</v>
      </c>
      <c r="C16" t="str">
        <f>IF(ISTEXT(Tabelle1[[#This Row],[Am.Englisch]]),"&lt;solutions&gt;&lt;solution&gt;&lt;tongue&gt;en-us&lt;/tongue&gt;&lt;word&gt;"&amp;SUBSTITUTE(Tabelle1[[#This Row],[Am.Englisch]],";","&lt;/word&gt;&lt;word&gt;")&amp;"&lt;/word&gt;&lt;/solution&gt;&lt;/solutions&gt;","")</f>
        <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2557</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&lt;solutions&gt;&lt;solution&gt;&lt;tongue&gt;de&lt;/tongue&gt;&lt;word&gt;Batman&lt;/word&gt;&lt;/solution&gt;&lt;solution&gt;&lt;tongue&gt;en&lt;/tongue&gt;&lt;word&gt;batman&lt;/word&gt;&lt;/solution&gt;&lt;/solutions&gt;</v>
      </c>
      <c r="C17" t="str">
        <f>IF(ISTEXT(Tabelle1[[#This Row],[Am.Englisch]]),"&lt;solutions&gt;&lt;solution&gt;&lt;tongue&gt;en-us&lt;/tongue&gt;&lt;word&gt;"&amp;SUBSTITUTE(Tabelle1[[#This Row],[Am.Englisch]],";","&lt;/word&gt;&lt;word&gt;")&amp;"&lt;/word&gt;&lt;/solution&gt;&lt;/solutions&gt;","")</f>
        <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2558</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&lt;solutions&gt;&lt;solution&gt;&lt;tongue&gt;de&lt;/tongue&gt;&lt;word&gt;Baum&lt;/word&gt;&lt;/solution&gt;&lt;solution&gt;&lt;tongue&gt;en&lt;/tongue&gt;&lt;word&gt;tree&lt;/word&gt;&lt;/solution&gt;&lt;/solutions&gt;</v>
      </c>
      <c r="C18" t="str">
        <f>IF(ISTEXT(Tabelle1[[#This Row],[Am.Englisch]]),"&lt;solutions&gt;&lt;solution&gt;&lt;tongue&gt;en-us&lt;/tongue&gt;&lt;word&gt;"&amp;SUBSTITUTE(Tabelle1[[#This Row],[Am.Englisch]],";","&lt;/word&gt;&lt;word&gt;")&amp;"&lt;/word&gt;&lt;/solution&gt;&lt;/solutions&gt;","")</f>
        <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2559</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&lt;solutions&gt;&lt;solution&gt;&lt;tongue&gt;de&lt;/tongue&gt;&lt;word&gt;Baumstamm&lt;/word&gt;&lt;/solution&gt;&lt;solution&gt;&lt;tongue&gt;en&lt;/tongue&gt;&lt;word&gt;log&lt;/word&gt;&lt;/solution&gt;&lt;/solutions&gt;</v>
      </c>
      <c r="C19" t="str">
        <f>IF(ISTEXT(Tabelle1[[#This Row],[Am.Englisch]]),"&lt;solutions&gt;&lt;solution&gt;&lt;tongue&gt;en-us&lt;/tongue&gt;&lt;word&gt;"&amp;SUBSTITUTE(Tabelle1[[#This Row],[Am.Englisch]],";","&lt;/word&gt;&lt;word&gt;")&amp;"&lt;/word&gt;&lt;/solution&gt;&lt;/solutions&gt;","")</f>
        <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2560</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&lt;solutions&gt;&lt;solution&gt;&lt;tongue&gt;de&lt;/tongue&gt;&lt;word&gt;Berge&lt;/word&gt;&lt;word&gt;Gebirge&lt;/word&gt;&lt;/solution&gt;&lt;solution&gt;&lt;tongue&gt;en&lt;/tongue&gt;&lt;word&gt;mountain&lt;/word&gt;&lt;/solution&gt;&lt;/solutions&gt;</v>
      </c>
      <c r="C20" t="str">
        <f>IF(ISTEXT(Tabelle1[[#This Row],[Am.Englisch]]),"&lt;solutions&gt;&lt;solution&gt;&lt;tongue&gt;en-us&lt;/tongue&gt;&lt;word&gt;"&amp;SUBSTITUTE(Tabelle1[[#This Row],[Am.Englisch]],";","&lt;/word&gt;&lt;word&gt;")&amp;"&lt;/word&gt;&lt;/solution&gt;&lt;/solutions&gt;","")</f>
        <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2561</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&lt;solutions&gt;&lt;solution&gt;&lt;tongue&gt;de&lt;/tongue&gt;&lt;word&gt;Besteck&lt;/word&gt;&lt;/solution&gt;&lt;solution&gt;&lt;tongue&gt;en&lt;/tongue&gt;&lt;word&gt;cutlery&lt;/word&gt;&lt;/solution&gt;&lt;/solutions&gt;</v>
      </c>
      <c r="C21" t="str">
        <f>IF(ISTEXT(Tabelle1[[#This Row],[Am.Englisch]]),"&lt;solutions&gt;&lt;solution&gt;&lt;tongue&gt;en-us&lt;/tongue&gt;&lt;word&gt;"&amp;SUBSTITUTE(Tabelle1[[#This Row],[Am.Englisch]],";","&lt;/word&gt;&lt;word&gt;")&amp;"&lt;/word&gt;&lt;/solution&gt;&lt;/solutions&gt;","")</f>
        <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2562</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&lt;solutions&gt;&lt;solution&gt;&lt;tongue&gt;de&lt;/tongue&gt;&lt;word&gt;Biene&lt;/word&gt;&lt;/solution&gt;&lt;solution&gt;&lt;tongue&gt;en&lt;/tongue&gt;&lt;word&gt;bee&lt;/word&gt;&lt;/solution&gt;&lt;/solutions&gt;</v>
      </c>
      <c r="C22" t="str">
        <f>IF(ISTEXT(Tabelle1[[#This Row],[Am.Englisch]]),"&lt;solutions&gt;&lt;solution&gt;&lt;tongue&gt;en-us&lt;/tongue&gt;&lt;word&gt;"&amp;SUBSTITUTE(Tabelle1[[#This Row],[Am.Englisch]],";","&lt;/word&gt;&lt;word&gt;")&amp;"&lt;/word&gt;&lt;/solution&gt;&lt;/solutions&gt;","")</f>
        <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2563</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&lt;solutions&gt;&lt;solution&gt;&lt;tongue&gt;de&lt;/tongue&gt;&lt;word&gt;Bier&lt;/word&gt;&lt;/solution&gt;&lt;solution&gt;&lt;tongue&gt;en&lt;/tongue&gt;&lt;word&gt;beer&lt;/word&gt;&lt;/solution&gt;&lt;/solutions&gt;</v>
      </c>
      <c r="C23" t="str">
        <f>IF(ISTEXT(Tabelle1[[#This Row],[Am.Englisch]]),"&lt;solutions&gt;&lt;solution&gt;&lt;tongue&gt;en-us&lt;/tongue&gt;&lt;word&gt;"&amp;SUBSTITUTE(Tabelle1[[#This Row],[Am.Englisch]],";","&lt;/word&gt;&lt;word&gt;")&amp;"&lt;/word&gt;&lt;/solution&gt;&lt;/solutions&gt;","")</f>
        <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2564</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&lt;solutions&gt;&lt;solution&gt;&lt;tongue&gt;de&lt;/tongue&gt;&lt;word&gt;Bildschirm&lt;/word&gt;&lt;/solution&gt;&lt;solution&gt;&lt;tongue&gt;en&lt;/tongue&gt;&lt;word&gt;monitor&lt;/word&gt;&lt;/solution&gt;&lt;/solutions&gt;</v>
      </c>
      <c r="C24" t="str">
        <f>IF(ISTEXT(Tabelle1[[#This Row],[Am.Englisch]]),"&lt;solutions&gt;&lt;solution&gt;&lt;tongue&gt;en-us&lt;/tongue&gt;&lt;word&gt;"&amp;SUBSTITUTE(Tabelle1[[#This Row],[Am.Englisch]],";","&lt;/word&gt;&lt;word&gt;")&amp;"&lt;/word&gt;&lt;/solution&gt;&lt;/solutions&gt;","")</f>
        <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2565</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&lt;solutions&gt;&lt;solution&gt;&lt;tongue&gt;de&lt;/tongue&gt;&lt;word&gt;Blitz&lt;/word&gt;&lt;/solution&gt;&lt;solution&gt;&lt;tongue&gt;en&lt;/tongue&gt;&lt;word&gt;lightning&lt;/word&gt;&lt;/solution&gt;&lt;/solutions&gt;</v>
      </c>
      <c r="C25" t="str">
        <f>IF(ISTEXT(Tabelle1[[#This Row],[Am.Englisch]]),"&lt;solutions&gt;&lt;solution&gt;&lt;tongue&gt;en-us&lt;/tongue&gt;&lt;word&gt;"&amp;SUBSTITUTE(Tabelle1[[#This Row],[Am.Englisch]],";","&lt;/word&gt;&lt;word&gt;")&amp;"&lt;/word&gt;&lt;/solution&gt;&lt;/solutions&gt;","")</f>
        <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2566</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&lt;solutions&gt;&lt;solution&gt;&lt;tongue&gt;de&lt;/tongue&gt;&lt;word&gt;Blume&lt;/word&gt;&lt;/solution&gt;&lt;solution&gt;&lt;tongue&gt;en&lt;/tongue&gt;&lt;word&gt;flower&lt;/word&gt;&lt;/solution&gt;&lt;/solutions&gt;</v>
      </c>
      <c r="C26" t="str">
        <f>IF(ISTEXT(Tabelle1[[#This Row],[Am.Englisch]]),"&lt;solutions&gt;&lt;solution&gt;&lt;tongue&gt;en-us&lt;/tongue&gt;&lt;word&gt;"&amp;SUBSTITUTE(Tabelle1[[#This Row],[Am.Englisch]],";","&lt;/word&gt;&lt;word&gt;")&amp;"&lt;/word&gt;&lt;/solution&gt;&lt;/solutions&gt;","")</f>
        <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2567</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&lt;solutions&gt;&lt;solution&gt;&lt;tongue&gt;de&lt;/tongue&gt;&lt;word&gt;Bombe&lt;/word&gt;&lt;/solution&gt;&lt;solution&gt;&lt;tongue&gt;en&lt;/tongue&gt;&lt;word&gt;bomb&lt;/word&gt;&lt;/solution&gt;&lt;/solutions&gt;</v>
      </c>
      <c r="C27" t="str">
        <f>IF(ISTEXT(Tabelle1[[#This Row],[Am.Englisch]]),"&lt;solutions&gt;&lt;solution&gt;&lt;tongue&gt;en-us&lt;/tongue&gt;&lt;word&gt;"&amp;SUBSTITUTE(Tabelle1[[#This Row],[Am.Englisch]],";","&lt;/word&gt;&lt;word&gt;")&amp;"&lt;/word&gt;&lt;/solution&gt;&lt;/solutions&gt;","")</f>
        <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2568</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&lt;solutions&gt;&lt;solution&gt;&lt;tongue&gt;de&lt;/tongue&gt;&lt;word&gt;Boot&lt;/word&gt;&lt;/solution&gt;&lt;solution&gt;&lt;tongue&gt;en&lt;/tongue&gt;&lt;word&gt;boat&lt;/word&gt;&lt;/solution&gt;&lt;/solutions&gt;</v>
      </c>
      <c r="C28" t="str">
        <f>IF(ISTEXT(Tabelle1[[#This Row],[Am.Englisch]]),"&lt;solutions&gt;&lt;solution&gt;&lt;tongue&gt;en-us&lt;/tongue&gt;&lt;word&gt;"&amp;SUBSTITUTE(Tabelle1[[#This Row],[Am.Englisch]],";","&lt;/word&gt;&lt;word&gt;")&amp;"&lt;/word&gt;&lt;/solution&gt;&lt;/solutions&gt;","")</f>
        <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2569</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&lt;solutions&gt;&lt;solution&gt;&lt;tongue&gt;de&lt;/tongue&gt;&lt;word&gt;Brief&lt;/word&gt;&lt;/solution&gt;&lt;solution&gt;&lt;tongue&gt;en&lt;/tongue&gt;&lt;word&gt;envelope&lt;/word&gt;&lt;/solution&gt;&lt;/solutions&gt;</v>
      </c>
      <c r="C29" t="str">
        <f>IF(ISTEXT(Tabelle1[[#This Row],[Am.Englisch]]),"&lt;solutions&gt;&lt;solution&gt;&lt;tongue&gt;en-us&lt;/tongue&gt;&lt;word&gt;"&amp;SUBSTITUTE(Tabelle1[[#This Row],[Am.Englisch]],";","&lt;/word&gt;&lt;word&gt;")&amp;"&lt;/word&gt;&lt;/solution&gt;&lt;/solutions&gt;","")</f>
        <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2570</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&lt;solutions&gt;&lt;solution&gt;&lt;tongue&gt;de&lt;/tongue&gt;&lt;word&gt;Brille&lt;/word&gt;&lt;/solution&gt;&lt;solution&gt;&lt;tongue&gt;en&lt;/tongue&gt;&lt;word&gt;glasses&lt;/word&gt;&lt;/solution&gt;&lt;/solutions&gt;</v>
      </c>
      <c r="C30" t="str">
        <f>IF(ISTEXT(Tabelle1[[#This Row],[Am.Englisch]]),"&lt;solutions&gt;&lt;solution&gt;&lt;tongue&gt;en-us&lt;/tongue&gt;&lt;word&gt;"&amp;SUBSTITUTE(Tabelle1[[#This Row],[Am.Englisch]],";","&lt;/word&gt;&lt;word&gt;")&amp;"&lt;/word&gt;&lt;/solution&gt;&lt;/solutions&gt;","")</f>
        <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2571</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&lt;solutions&gt;&lt;solution&gt;&lt;tongue&gt;de&lt;/tongue&gt;&lt;word&gt;Brücke&lt;/word&gt;&lt;/solution&gt;&lt;solution&gt;&lt;tongue&gt;en&lt;/tongue&gt;&lt;word&gt;bridge&lt;/word&gt;&lt;/solution&gt;&lt;/solutions&gt;</v>
      </c>
      <c r="C31" t="str">
        <f>IF(ISTEXT(Tabelle1[[#This Row],[Am.Englisch]]),"&lt;solutions&gt;&lt;solution&gt;&lt;tongue&gt;en-us&lt;/tongue&gt;&lt;word&gt;"&amp;SUBSTITUTE(Tabelle1[[#This Row],[Am.Englisch]],";","&lt;/word&gt;&lt;word&gt;")&amp;"&lt;/word&gt;&lt;/solution&gt;&lt;/solutions&gt;","")</f>
        <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2572</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&lt;solutions&gt;&lt;solution&gt;&lt;tongue&gt;de&lt;/tongue&gt;&lt;word&gt;Buchstabe&lt;/word&gt;&lt;/solution&gt;&lt;solution&gt;&lt;tongue&gt;en&lt;/tongue&gt;&lt;word&gt;letter&lt;/word&gt;&lt;/solution&gt;&lt;/solutions&gt;</v>
      </c>
      <c r="C32" t="str">
        <f>IF(ISTEXT(Tabelle1[[#This Row],[Am.Englisch]]),"&lt;solutions&gt;&lt;solution&gt;&lt;tongue&gt;en-us&lt;/tongue&gt;&lt;word&gt;"&amp;SUBSTITUTE(Tabelle1[[#This Row],[Am.Englisch]],";","&lt;/word&gt;&lt;word&gt;")&amp;"&lt;/word&gt;&lt;/solution&gt;&lt;/solutions&gt;","")</f>
        <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2573</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&lt;solutions&gt;&lt;solution&gt;&lt;tongue&gt;de&lt;/tongue&gt;&lt;word&gt;Büroklammer&lt;/word&gt;&lt;/solution&gt;&lt;solution&gt;&lt;tongue&gt;en&lt;/tongue&gt;&lt;word&gt;paperclip&lt;/word&gt;&lt;/solution&gt;&lt;/solutions&gt;</v>
      </c>
      <c r="C33" t="str">
        <f>IF(ISTEXT(Tabelle1[[#This Row],[Am.Englisch]]),"&lt;solutions&gt;&lt;solution&gt;&lt;tongue&gt;en-us&lt;/tongue&gt;&lt;word&gt;"&amp;SUBSTITUTE(Tabelle1[[#This Row],[Am.Englisch]],";","&lt;/word&gt;&lt;word&gt;")&amp;"&lt;/word&gt;&lt;/solution&gt;&lt;/solutions&gt;","")</f>
        <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2574</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&lt;solutions&gt;&lt;solution&gt;&lt;tongue&gt;de&lt;/tongue&gt;&lt;word&gt;Bürste&lt;/word&gt;&lt;/solution&gt;&lt;solution&gt;&lt;tongue&gt;en&lt;/tongue&gt;&lt;word&gt;brush&lt;/word&gt;&lt;/solution&gt;&lt;/solutions&gt;</v>
      </c>
      <c r="C34" t="str">
        <f>IF(ISTEXT(Tabelle1[[#This Row],[Am.Englisch]]),"&lt;solutions&gt;&lt;solution&gt;&lt;tongue&gt;en-us&lt;/tongue&gt;&lt;word&gt;"&amp;SUBSTITUTE(Tabelle1[[#This Row],[Am.Englisch]],";","&lt;/word&gt;&lt;word&gt;")&amp;"&lt;/word&gt;&lt;/solution&gt;&lt;/solutions&gt;","")</f>
        <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2575</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&lt;solutions&gt;&lt;solution&gt;&lt;tongue&gt;de&lt;/tongue&gt;&lt;word&gt;CD&lt;/word&gt;&lt;/solution&gt;&lt;solution&gt;&lt;tongue&gt;en&lt;/tongue&gt;&lt;word&gt;cd&lt;/word&gt;&lt;/solution&gt;&lt;/solutions&gt;</v>
      </c>
      <c r="C35" t="str">
        <f>IF(ISTEXT(Tabelle1[[#This Row],[Am.Englisch]]),"&lt;solutions&gt;&lt;solution&gt;&lt;tongue&gt;en-us&lt;/tongue&gt;&lt;word&gt;"&amp;SUBSTITUTE(Tabelle1[[#This Row],[Am.Englisch]],";","&lt;/word&gt;&lt;word&gt;")&amp;"&lt;/word&gt;&lt;/solution&gt;&lt;/solutions&gt;","")</f>
        <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2576</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&lt;solutions&gt;&lt;solution&gt;&lt;tongue&gt;de&lt;/tongue&gt;&lt;word&gt;Dart&lt;/word&gt;&lt;/solution&gt;&lt;solution&gt;&lt;tongue&gt;en&lt;/tongue&gt;&lt;word&gt;dart&lt;/word&gt;&lt;/solution&gt;&lt;/solutions&gt;</v>
      </c>
      <c r="C36" t="str">
        <f>IF(ISTEXT(Tabelle1[[#This Row],[Am.Englisch]]),"&lt;solutions&gt;&lt;solution&gt;&lt;tongue&gt;en-us&lt;/tongue&gt;&lt;word&gt;"&amp;SUBSTITUTE(Tabelle1[[#This Row],[Am.Englisch]],";","&lt;/word&gt;&lt;word&gt;")&amp;"&lt;/word&gt;&lt;/solution&gt;&lt;/solutions&gt;","")</f>
        <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2577</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&lt;solutions&gt;&lt;solution&gt;&lt;tongue&gt;de&lt;/tongue&gt;&lt;word&gt;Datei&lt;/word&gt;&lt;/solution&gt;&lt;solution&gt;&lt;tongue&gt;en&lt;/tongue&gt;&lt;word&gt;file&lt;/word&gt;&lt;/solution&gt;&lt;/solutions&gt;</v>
      </c>
      <c r="C37" t="str">
        <f>IF(ISTEXT(Tabelle1[[#This Row],[Am.Englisch]]),"&lt;solutions&gt;&lt;solution&gt;&lt;tongue&gt;en-us&lt;/tongue&gt;&lt;word&gt;"&amp;SUBSTITUTE(Tabelle1[[#This Row],[Am.Englisch]],";","&lt;/word&gt;&lt;word&gt;")&amp;"&lt;/word&gt;&lt;/solution&gt;&lt;/solutions&gt;","")</f>
        <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2578</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&lt;solutions&gt;&lt;solution&gt;&lt;tongue&gt;de&lt;/tongue&gt;&lt;word&gt;Diamant&lt;/word&gt;&lt;/solution&gt;&lt;solution&gt;&lt;tongue&gt;en&lt;/tongue&gt;&lt;word&gt;diamond&lt;/word&gt;&lt;/solution&gt;&lt;/solutions&gt;</v>
      </c>
      <c r="C38" t="str">
        <f>IF(ISTEXT(Tabelle1[[#This Row],[Am.Englisch]]),"&lt;solutions&gt;&lt;solution&gt;&lt;tongue&gt;en-us&lt;/tongue&gt;&lt;word&gt;"&amp;SUBSTITUTE(Tabelle1[[#This Row],[Am.Englisch]],";","&lt;/word&gt;&lt;word&gt;")&amp;"&lt;/word&gt;&lt;/solution&gt;&lt;/solutions&gt;","")</f>
        <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2579</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&lt;solutions&gt;&lt;solution&gt;&lt;tongue&gt;de&lt;/tongue&gt;&lt;word&gt;Dinosaurier&lt;/word&gt;&lt;/solution&gt;&lt;solution&gt;&lt;tongue&gt;en&lt;/tongue&gt;&lt;word&gt;dinosaur&lt;/word&gt;&lt;/solution&gt;&lt;/solutions&gt;</v>
      </c>
      <c r="C39" t="str">
        <f>IF(ISTEXT(Tabelle1[[#This Row],[Am.Englisch]]),"&lt;solutions&gt;&lt;solution&gt;&lt;tongue&gt;en-us&lt;/tongue&gt;&lt;word&gt;"&amp;SUBSTITUTE(Tabelle1[[#This Row],[Am.Englisch]],";","&lt;/word&gt;&lt;word&gt;")&amp;"&lt;/word&gt;&lt;/solution&gt;&lt;/solutions&gt;","")</f>
        <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2580</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&lt;solutions&gt;&lt;solution&gt;&lt;tongue&gt;de&lt;/tongue&gt;&lt;word&gt;dns&lt;/word&gt;&lt;word&gt;dna&lt;/word&gt;&lt;/solution&gt;&lt;solution&gt;&lt;tongue&gt;en&lt;/tongue&gt;&lt;word&gt;dna&lt;/word&gt;&lt;/solution&gt;&lt;/solutions&gt;</v>
      </c>
      <c r="C40" t="str">
        <f>IF(ISTEXT(Tabelle1[[#This Row],[Am.Englisch]]),"&lt;solutions&gt;&lt;solution&gt;&lt;tongue&gt;en-us&lt;/tongue&gt;&lt;word&gt;"&amp;SUBSTITUTE(Tabelle1[[#This Row],[Am.Englisch]],";","&lt;/word&gt;&lt;word&gt;")&amp;"&lt;/word&gt;&lt;/solution&gt;&lt;/solutions&gt;","")</f>
        <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2581</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&lt;solutions&gt;&lt;solution&gt;&lt;tongue&gt;de&lt;/tongue&gt;&lt;word&gt;Dollar&lt;/word&gt;&lt;/solution&gt;&lt;solution&gt;&lt;tongue&gt;en&lt;/tongue&gt;&lt;word&gt;dollar&lt;/word&gt;&lt;/solution&gt;&lt;/solutions&gt;</v>
      </c>
      <c r="C41" t="str">
        <f>IF(ISTEXT(Tabelle1[[#This Row],[Am.Englisch]]),"&lt;solutions&gt;&lt;solution&gt;&lt;tongue&gt;en-us&lt;/tongue&gt;&lt;word&gt;"&amp;SUBSTITUTE(Tabelle1[[#This Row],[Am.Englisch]],";","&lt;/word&gt;&lt;word&gt;")&amp;"&lt;/word&gt;&lt;/solution&gt;&lt;/solutions&gt;","")</f>
        <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2582</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&lt;solutions&gt;&lt;solution&gt;&lt;tongue&gt;de&lt;/tongue&gt;&lt;word&gt;Drache&lt;/word&gt;&lt;/solution&gt;&lt;solution&gt;&lt;tongue&gt;en&lt;/tongue&gt;&lt;word&gt;dragon&lt;/word&gt;&lt;/solution&gt;&lt;/solutions&gt;</v>
      </c>
      <c r="C42" t="str">
        <f>IF(ISTEXT(Tabelle1[[#This Row],[Am.Englisch]]),"&lt;solutions&gt;&lt;solution&gt;&lt;tongue&gt;en-us&lt;/tongue&gt;&lt;word&gt;"&amp;SUBSTITUTE(Tabelle1[[#This Row],[Am.Englisch]],";","&lt;/word&gt;&lt;word&gt;")&amp;"&lt;/word&gt;&lt;/solution&gt;&lt;/solutions&gt;","")</f>
        <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2583</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&lt;solutions&gt;&lt;solution&gt;&lt;tongue&gt;de&lt;/tongue&gt;&lt;word&gt;Dreieck&lt;/word&gt;&lt;/solution&gt;&lt;solution&gt;&lt;tongue&gt;en&lt;/tongue&gt;&lt;word&gt;triangle&lt;/word&gt;&lt;/solution&gt;&lt;/solutions&gt;</v>
      </c>
      <c r="C43" t="str">
        <f>IF(ISTEXT(Tabelle1[[#This Row],[Am.Englisch]]),"&lt;solutions&gt;&lt;solution&gt;&lt;tongue&gt;en-us&lt;/tongue&gt;&lt;word&gt;"&amp;SUBSTITUTE(Tabelle1[[#This Row],[Am.Englisch]],";","&lt;/word&gt;&lt;word&gt;")&amp;"&lt;/word&gt;&lt;/solution&gt;&lt;/solutions&gt;","")</f>
        <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2584</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&lt;solutions&gt;&lt;solution&gt;&lt;tongue&gt;de&lt;/tongue&gt;&lt;word&gt;Eichhörnchen&lt;/word&gt;&lt;/solution&gt;&lt;solution&gt;&lt;tongue&gt;en&lt;/tongue&gt;&lt;word&gt;squirrel&lt;/word&gt;&lt;/solution&gt;&lt;/solutions&gt;</v>
      </c>
      <c r="C44" t="str">
        <f>IF(ISTEXT(Tabelle1[[#This Row],[Am.Englisch]]),"&lt;solutions&gt;&lt;solution&gt;&lt;tongue&gt;en-us&lt;/tongue&gt;&lt;word&gt;"&amp;SUBSTITUTE(Tabelle1[[#This Row],[Am.Englisch]],";","&lt;/word&gt;&lt;word&gt;")&amp;"&lt;/word&gt;&lt;/solution&gt;&lt;/solutions&gt;","")</f>
        <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2585</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&lt;solutions&gt;&lt;solution&gt;&lt;tongue&gt;de&lt;/tongue&gt;&lt;word&gt;Eidechse&lt;/word&gt;&lt;/solution&gt;&lt;solution&gt;&lt;tongue&gt;en&lt;/tongue&gt;&lt;word&gt;lizard&lt;/word&gt;&lt;/solution&gt;&lt;/solutions&gt;</v>
      </c>
      <c r="C45" t="str">
        <f>IF(ISTEXT(Tabelle1[[#This Row],[Am.Englisch]]),"&lt;solutions&gt;&lt;solution&gt;&lt;tongue&gt;en-us&lt;/tongue&gt;&lt;word&gt;"&amp;SUBSTITUTE(Tabelle1[[#This Row],[Am.Englisch]],";","&lt;/word&gt;&lt;word&gt;")&amp;"&lt;/word&gt;&lt;/solution&gt;&lt;/solutions&gt;","")</f>
        <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2586</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&lt;solutions&gt;&lt;solution&gt;&lt;tongue&gt;de&lt;/tongue&gt;&lt;word&gt;Einhorn&lt;/word&gt;&lt;/solution&gt;&lt;solution&gt;&lt;tongue&gt;en&lt;/tongue&gt;&lt;word&gt;unicorn&lt;/word&gt;&lt;/solution&gt;&lt;/solutions&gt;</v>
      </c>
      <c r="C46" t="str">
        <f>IF(ISTEXT(Tabelle1[[#This Row],[Am.Englisch]]),"&lt;solutions&gt;&lt;solution&gt;&lt;tongue&gt;en-us&lt;/tongue&gt;&lt;word&gt;"&amp;SUBSTITUTE(Tabelle1[[#This Row],[Am.Englisch]],";","&lt;/word&gt;&lt;word&gt;")&amp;"&lt;/word&gt;&lt;/solution&gt;&lt;/solutions&gt;","")</f>
        <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2587</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&lt;solutions&gt;&lt;solution&gt;&lt;tongue&gt;de&lt;/tongue&gt;&lt;word&gt;Einkaufswagen&lt;/word&gt;&lt;/solution&gt;&lt;solution&gt;&lt;tongue&gt;en&lt;/tongue&gt;&lt;word&gt;shoppingcart&lt;/word&gt;&lt;/solution&gt;&lt;/solutions&gt;</v>
      </c>
      <c r="C47" t="str">
        <f>IF(ISTEXT(Tabelle1[[#This Row],[Am.Englisch]]),"&lt;solutions&gt;&lt;solution&gt;&lt;tongue&gt;en-us&lt;/tongue&gt;&lt;word&gt;"&amp;SUBSTITUTE(Tabelle1[[#This Row],[Am.Englisch]],";","&lt;/word&gt;&lt;word&gt;")&amp;"&lt;/word&gt;&lt;/solution&gt;&lt;/solutions&gt;","")</f>
        <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2588</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&lt;solutions&gt;&lt;solution&gt;&lt;tongue&gt;de&lt;/tongue&gt;&lt;word&gt;Eisbär&lt;/word&gt;&lt;/solution&gt;&lt;solution&gt;&lt;tongue&gt;en&lt;/tongue&gt;&lt;word&gt;polarbear&lt;/word&gt;&lt;/solution&gt;&lt;/solutions&gt;</v>
      </c>
      <c r="C48" t="str">
        <f>IF(ISTEXT(Tabelle1[[#This Row],[Am.Englisch]]),"&lt;solutions&gt;&lt;solution&gt;&lt;tongue&gt;en-us&lt;/tongue&gt;&lt;word&gt;"&amp;SUBSTITUTE(Tabelle1[[#This Row],[Am.Englisch]],";","&lt;/word&gt;&lt;word&gt;")&amp;"&lt;/word&gt;&lt;/solution&gt;&lt;/solutions&gt;","")</f>
        <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2589</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&lt;solutions&gt;&lt;solution&gt;&lt;tongue&gt;de&lt;/tongue&gt;&lt;word&gt;Eisenbahn&lt;/word&gt;&lt;/solution&gt;&lt;solution&gt;&lt;tongue&gt;en&lt;/tongue&gt;&lt;word&gt;train&lt;/word&gt;&lt;/solution&gt;&lt;/solutions&gt;</v>
      </c>
      <c r="C49" t="str">
        <f>IF(ISTEXT(Tabelle1[[#This Row],[Am.Englisch]]),"&lt;solutions&gt;&lt;solution&gt;&lt;tongue&gt;en-us&lt;/tongue&gt;&lt;word&gt;"&amp;SUBSTITUTE(Tabelle1[[#This Row],[Am.Englisch]],";","&lt;/word&gt;&lt;word&gt;")&amp;"&lt;/word&gt;&lt;/solution&gt;&lt;/solutions&gt;","")</f>
        <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2590</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&lt;solutions&gt;&lt;solution&gt;&lt;tongue&gt;de&lt;/tongue&gt;&lt;word&gt;Elefant&lt;/word&gt;&lt;/solution&gt;&lt;solution&gt;&lt;tongue&gt;en&lt;/tongue&gt;&lt;word&gt;elephant&lt;/word&gt;&lt;/solution&gt;&lt;/solutions&gt;</v>
      </c>
      <c r="C50" t="str">
        <f>IF(ISTEXT(Tabelle1[[#This Row],[Am.Englisch]]),"&lt;solutions&gt;&lt;solution&gt;&lt;tongue&gt;en-us&lt;/tongue&gt;&lt;word&gt;"&amp;SUBSTITUTE(Tabelle1[[#This Row],[Am.Englisch]],";","&lt;/word&gt;&lt;word&gt;")&amp;"&lt;/word&gt;&lt;/solution&gt;&lt;/solutions&gt;","")</f>
        <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2591</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&lt;solutions&gt;&lt;solution&gt;&lt;tongue&gt;de&lt;/tongue&gt;&lt;word&gt;Ente&lt;/word&gt;&lt;/solution&gt;&lt;solution&gt;&lt;tongue&gt;en&lt;/tongue&gt;&lt;word&gt;duck&lt;/word&gt;&lt;/solution&gt;&lt;/solutions&gt;</v>
      </c>
      <c r="C51" t="str">
        <f>IF(ISTEXT(Tabelle1[[#This Row],[Am.Englisch]]),"&lt;solutions&gt;&lt;solution&gt;&lt;tongue&gt;en-us&lt;/tongue&gt;&lt;word&gt;"&amp;SUBSTITUTE(Tabelle1[[#This Row],[Am.Englisch]],";","&lt;/word&gt;&lt;word&gt;")&amp;"&lt;/word&gt;&lt;/solution&gt;&lt;/solutions&gt;","")</f>
        <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2592</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&lt;solutions&gt;&lt;solution&gt;&lt;tongue&gt;de&lt;/tongue&gt;&lt;word&gt;Erdbeere&lt;/word&gt;&lt;/solution&gt;&lt;solution&gt;&lt;tongue&gt;en&lt;/tongue&gt;&lt;word&gt;strawberry&lt;/word&gt;&lt;/solution&gt;&lt;/solutions&gt;</v>
      </c>
      <c r="C52" t="str">
        <f>IF(ISTEXT(Tabelle1[[#This Row],[Am.Englisch]]),"&lt;solutions&gt;&lt;solution&gt;&lt;tongue&gt;en-us&lt;/tongue&gt;&lt;word&gt;"&amp;SUBSTITUTE(Tabelle1[[#This Row],[Am.Englisch]],";","&lt;/word&gt;&lt;word&gt;")&amp;"&lt;/word&gt;&lt;/solution&gt;&lt;/solutions&gt;","")</f>
        <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2593</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&lt;solutions&gt;&lt;solution&gt;&lt;tongue&gt;de&lt;/tongue&gt;&lt;word&gt;Erde&lt;/word&gt;&lt;/solution&gt;&lt;solution&gt;&lt;tongue&gt;en&lt;/tongue&gt;&lt;word&gt;ground&lt;/word&gt;&lt;/solution&gt;&lt;/solutions&gt;</v>
      </c>
      <c r="C53" t="str">
        <f>IF(ISTEXT(Tabelle1[[#This Row],[Am.Englisch]]),"&lt;solutions&gt;&lt;solution&gt;&lt;tongue&gt;en-us&lt;/tongue&gt;&lt;word&gt;"&amp;SUBSTITUTE(Tabelle1[[#This Row],[Am.Englisch]],";","&lt;/word&gt;&lt;word&gt;")&amp;"&lt;/word&gt;&lt;/solution&gt;&lt;/solutions&gt;","")</f>
        <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2594</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&lt;solutions&gt;&lt;solution&gt;&lt;tongue&gt;de&lt;/tongue&gt;&lt;word&gt;Esel&lt;/word&gt;&lt;/solution&gt;&lt;solution&gt;&lt;tongue&gt;en&lt;/tongue&gt;&lt;word&gt;donkey&lt;/word&gt;&lt;/solution&gt;&lt;/solutions&gt;</v>
      </c>
      <c r="C54" t="str">
        <f>IF(ISTEXT(Tabelle1[[#This Row],[Am.Englisch]]),"&lt;solutions&gt;&lt;solution&gt;&lt;tongue&gt;en-us&lt;/tongue&gt;&lt;word&gt;"&amp;SUBSTITUTE(Tabelle1[[#This Row],[Am.Englisch]],";","&lt;/word&gt;&lt;word&gt;")&amp;"&lt;/word&gt;&lt;/solution&gt;&lt;/solutions&gt;","")</f>
        <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2595</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&lt;solutions&gt;&lt;solution&gt;&lt;tongue&gt;de&lt;/tongue&gt;&lt;word&gt;Eule&lt;/word&gt;&lt;/solution&gt;&lt;solution&gt;&lt;tongue&gt;en&lt;/tongue&gt;&lt;word&gt;owl&lt;/word&gt;&lt;/solution&gt;&lt;/solutions&gt;</v>
      </c>
      <c r="C55" t="str">
        <f>IF(ISTEXT(Tabelle1[[#This Row],[Am.Englisch]]),"&lt;solutions&gt;&lt;solution&gt;&lt;tongue&gt;en-us&lt;/tongue&gt;&lt;word&gt;"&amp;SUBSTITUTE(Tabelle1[[#This Row],[Am.Englisch]],";","&lt;/word&gt;&lt;word&gt;")&amp;"&lt;/word&gt;&lt;/solution&gt;&lt;/solutions&gt;","")</f>
        <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2596</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&lt;solutions&gt;&lt;solution&gt;&lt;tongue&gt;de&lt;/tongue&gt;&lt;word&gt;Europa&lt;/word&gt;&lt;/solution&gt;&lt;solution&gt;&lt;tongue&gt;en&lt;/tongue&gt;&lt;word&gt;europe&lt;/word&gt;&lt;/solution&gt;&lt;/solutions&gt;</v>
      </c>
      <c r="C56" t="str">
        <f>IF(ISTEXT(Tabelle1[[#This Row],[Am.Englisch]]),"&lt;solutions&gt;&lt;solution&gt;&lt;tongue&gt;en-us&lt;/tongue&gt;&lt;word&gt;"&amp;SUBSTITUTE(Tabelle1[[#This Row],[Am.Englisch]],";","&lt;/word&gt;&lt;word&gt;")&amp;"&lt;/word&gt;&lt;/solution&gt;&lt;/solutions&gt;","")</f>
        <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2597</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&lt;solutions&gt;&lt;solution&gt;&lt;tongue&gt;de&lt;/tongue&gt;&lt;word&gt;Fächer&lt;/word&gt;&lt;/solution&gt;&lt;solution&gt;&lt;tongue&gt;en&lt;/tongue&gt;&lt;word&gt;fan&lt;/word&gt;&lt;/solution&gt;&lt;/solutions&gt;</v>
      </c>
      <c r="C57" t="str">
        <f>IF(ISTEXT(Tabelle1[[#This Row],[Am.Englisch]]),"&lt;solutions&gt;&lt;solution&gt;&lt;tongue&gt;en-us&lt;/tongue&gt;&lt;word&gt;"&amp;SUBSTITUTE(Tabelle1[[#This Row],[Am.Englisch]],";","&lt;/word&gt;&lt;word&gt;")&amp;"&lt;/word&gt;&lt;/solution&gt;&lt;/solutions&gt;","")</f>
        <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2598</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&lt;solutions&gt;&lt;solution&gt;&lt;tongue&gt;de&lt;/tongue&gt;&lt;word&gt;Fahrrad&lt;/word&gt;&lt;/solution&gt;&lt;solution&gt;&lt;tongue&gt;en&lt;/tongue&gt;&lt;word&gt;bicycle&lt;/word&gt;&lt;/solution&gt;&lt;/solutions&gt;</v>
      </c>
      <c r="C58" t="str">
        <f>IF(ISTEXT(Tabelle1[[#This Row],[Am.Englisch]]),"&lt;solutions&gt;&lt;solution&gt;&lt;tongue&gt;en-us&lt;/tongue&gt;&lt;word&gt;"&amp;SUBSTITUTE(Tabelle1[[#This Row],[Am.Englisch]],";","&lt;/word&gt;&lt;word&gt;")&amp;"&lt;/word&gt;&lt;/solution&gt;&lt;/solutions&gt;","")</f>
        <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2599</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&lt;solutions&gt;&lt;solution&gt;&lt;tongue&gt;de&lt;/tongue&gt;&lt;word&gt;Farben&lt;/word&gt;&lt;/solution&gt;&lt;solution&gt;&lt;tongue&gt;en&lt;/tongue&gt;&lt;word&gt;colours&lt;/word&gt;&lt;/solution&gt;&lt;/solutions&gt;</v>
      </c>
      <c r="C59" t="str">
        <f>IF(ISTEXT(Tabelle1[[#This Row],[Am.Englisch]]),"&lt;solutions&gt;&lt;solution&gt;&lt;tongue&gt;en-us&lt;/tongue&gt;&lt;word&gt;"&amp;SUBSTITUTE(Tabelle1[[#This Row],[Am.Englisch]],";","&lt;/word&gt;&lt;word&gt;")&amp;"&lt;/word&gt;&lt;/solution&gt;&lt;/solutions&gt;","")</f>
        <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2600</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&lt;solutions&gt;&lt;solution&gt;&lt;tongue&gt;de&lt;/tongue&gt;&lt;word&gt;Feder&lt;/word&gt;&lt;/solution&gt;&lt;solution&gt;&lt;tongue&gt;en&lt;/tongue&gt;&lt;word&gt;feather&lt;/word&gt;&lt;/solution&gt;&lt;/solutions&gt;</v>
      </c>
      <c r="C60" t="str">
        <f>IF(ISTEXT(Tabelle1[[#This Row],[Am.Englisch]]),"&lt;solutions&gt;&lt;solution&gt;&lt;tongue&gt;en-us&lt;/tongue&gt;&lt;word&gt;"&amp;SUBSTITUTE(Tabelle1[[#This Row],[Am.Englisch]],";","&lt;/word&gt;&lt;word&gt;")&amp;"&lt;/word&gt;&lt;/solution&gt;&lt;/solutions&gt;","")</f>
        <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2601</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&lt;solutions&gt;&lt;solution&gt;&lt;tongue&gt;de&lt;/tongue&gt;&lt;word&gt;Festung&lt;/word&gt;&lt;/solution&gt;&lt;solution&gt;&lt;tongue&gt;en&lt;/tongue&gt;&lt;word&gt;fortress&lt;/word&gt;&lt;/solution&gt;&lt;/solutions&gt;</v>
      </c>
      <c r="C61" t="str">
        <f>IF(ISTEXT(Tabelle1[[#This Row],[Am.Englisch]]),"&lt;solutions&gt;&lt;solution&gt;&lt;tongue&gt;en-us&lt;/tongue&gt;&lt;word&gt;"&amp;SUBSTITUTE(Tabelle1[[#This Row],[Am.Englisch]],";","&lt;/word&gt;&lt;word&gt;")&amp;"&lt;/word&gt;&lt;/solution&gt;&lt;/solutions&gt;","")</f>
        <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2602</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&lt;solutions&gt;&lt;solution&gt;&lt;tongue&gt;de&lt;/tongue&gt;&lt;word&gt;Feuer&lt;/word&gt;&lt;/solution&gt;&lt;solution&gt;&lt;tongue&gt;en&lt;/tongue&gt;&lt;word&gt;fire&lt;/word&gt;&lt;/solution&gt;&lt;/solutions&gt;</v>
      </c>
      <c r="C62" t="str">
        <f>IF(ISTEXT(Tabelle1[[#This Row],[Am.Englisch]]),"&lt;solutions&gt;&lt;solution&gt;&lt;tongue&gt;en-us&lt;/tongue&gt;&lt;word&gt;"&amp;SUBSTITUTE(Tabelle1[[#This Row],[Am.Englisch]],";","&lt;/word&gt;&lt;word&gt;")&amp;"&lt;/word&gt;&lt;/solution&gt;&lt;/solutions&gt;","")</f>
        <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2603</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&lt;solutions&gt;&lt;solution&gt;&lt;tongue&gt;de&lt;/tongue&gt;&lt;word&gt;Film&lt;/word&gt;&lt;/solution&gt;&lt;solution&gt;&lt;tongue&gt;en&lt;/tongue&gt;&lt;word&gt;film&lt;/word&gt;&lt;/solution&gt;&lt;/solutions&gt;</v>
      </c>
      <c r="C63" t="str">
        <f>IF(ISTEXT(Tabelle1[[#This Row],[Am.Englisch]]),"&lt;solutions&gt;&lt;solution&gt;&lt;tongue&gt;en-us&lt;/tongue&gt;&lt;word&gt;"&amp;SUBSTITUTE(Tabelle1[[#This Row],[Am.Englisch]],";","&lt;/word&gt;&lt;word&gt;")&amp;"&lt;/word&gt;&lt;/solution&gt;&lt;/solutions&gt;","")</f>
        <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2604</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&lt;solutions&gt;&lt;solution&gt;&lt;tongue&gt;de&lt;/tongue&gt;&lt;word&gt;Fisch&lt;/word&gt;&lt;/solution&gt;&lt;solution&gt;&lt;tongue&gt;en&lt;/tongue&gt;&lt;word&gt;fish&lt;/word&gt;&lt;/solution&gt;&lt;/solutions&gt;</v>
      </c>
      <c r="C64" t="str">
        <f>IF(ISTEXT(Tabelle1[[#This Row],[Am.Englisch]]),"&lt;solutions&gt;&lt;solution&gt;&lt;tongue&gt;en-us&lt;/tongue&gt;&lt;word&gt;"&amp;SUBSTITUTE(Tabelle1[[#This Row],[Am.Englisch]],";","&lt;/word&gt;&lt;word&gt;")&amp;"&lt;/word&gt;&lt;/solution&gt;&lt;/solutions&gt;","")</f>
        <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2605</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&lt;solutions&gt;&lt;solution&gt;&lt;tongue&gt;de&lt;/tongue&gt;&lt;word&gt;Flagge&lt;/word&gt;&lt;/solution&gt;&lt;solution&gt;&lt;tongue&gt;en&lt;/tongue&gt;&lt;word&gt;flag&lt;/word&gt;&lt;/solution&gt;&lt;/solutions&gt;</v>
      </c>
      <c r="C65" t="str">
        <f>IF(ISTEXT(Tabelle1[[#This Row],[Am.Englisch]]),"&lt;solutions&gt;&lt;solution&gt;&lt;tongue&gt;en-us&lt;/tongue&gt;&lt;word&gt;"&amp;SUBSTITUTE(Tabelle1[[#This Row],[Am.Englisch]],";","&lt;/word&gt;&lt;word&gt;")&amp;"&lt;/word&gt;&lt;/solution&gt;&lt;/solutions&gt;","")</f>
        <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2606</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&lt;solutions&gt;&lt;solution&gt;&lt;tongue&gt;de&lt;/tongue&gt;&lt;word&gt;Flasche&lt;/word&gt;&lt;/solution&gt;&lt;solution&gt;&lt;tongue&gt;en&lt;/tongue&gt;&lt;word&gt;bottle&lt;/word&gt;&lt;/solution&gt;&lt;/solutions&gt;</v>
      </c>
      <c r="C66" t="str">
        <f>IF(ISTEXT(Tabelle1[[#This Row],[Am.Englisch]]),"&lt;solutions&gt;&lt;solution&gt;&lt;tongue&gt;en-us&lt;/tongue&gt;&lt;word&gt;"&amp;SUBSTITUTE(Tabelle1[[#This Row],[Am.Englisch]],";","&lt;/word&gt;&lt;word&gt;")&amp;"&lt;/word&gt;&lt;/solution&gt;&lt;/solutions&gt;","")</f>
        <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2607</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&lt;solutions&gt;&lt;solution&gt;&lt;tongue&gt;de&lt;/tongue&gt;&lt;word&gt;Fliegenpilz&lt;/word&gt;&lt;/solution&gt;&lt;solution&gt;&lt;tongue&gt;en&lt;/tongue&gt;&lt;word&gt;flyagaric&lt;/word&gt;&lt;/solution&gt;&lt;/solutions&gt;</v>
      </c>
      <c r="C67" t="str">
        <f>IF(ISTEXT(Tabelle1[[#This Row],[Am.Englisch]]),"&lt;solutions&gt;&lt;solution&gt;&lt;tongue&gt;en-us&lt;/tongue&gt;&lt;word&gt;"&amp;SUBSTITUTE(Tabelle1[[#This Row],[Am.Englisch]],";","&lt;/word&gt;&lt;word&gt;")&amp;"&lt;/word&gt;&lt;/solution&gt;&lt;/solutions&gt;","")</f>
        <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2608</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&lt;solutions&gt;&lt;solution&gt;&lt;tongue&gt;de&lt;/tongue&gt;&lt;word&gt;Flöte&lt;/word&gt;&lt;/solution&gt;&lt;solution&gt;&lt;tongue&gt;en&lt;/tongue&gt;&lt;word&gt;flute&lt;/word&gt;&lt;/solution&gt;&lt;/solutions&gt;</v>
      </c>
      <c r="C68" t="str">
        <f>IF(ISTEXT(Tabelle1[[#This Row],[Am.Englisch]]),"&lt;solutions&gt;&lt;solution&gt;&lt;tongue&gt;en-us&lt;/tongue&gt;&lt;word&gt;"&amp;SUBSTITUTE(Tabelle1[[#This Row],[Am.Englisch]],";","&lt;/word&gt;&lt;word&gt;")&amp;"&lt;/word&gt;&lt;/solution&gt;&lt;/solutions&gt;","")</f>
        <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2609</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&lt;solutions&gt;&lt;solution&gt;&lt;tongue&gt;de&lt;/tongue&gt;&lt;word&gt;Flügel&lt;/word&gt;&lt;/solution&gt;&lt;solution&gt;&lt;tongue&gt;en&lt;/tongue&gt;&lt;word&gt;wings&lt;/word&gt;&lt;/solution&gt;&lt;/solutions&gt;</v>
      </c>
      <c r="C69" t="str">
        <f>IF(ISTEXT(Tabelle1[[#This Row],[Am.Englisch]]),"&lt;solutions&gt;&lt;solution&gt;&lt;tongue&gt;en-us&lt;/tongue&gt;&lt;word&gt;"&amp;SUBSTITUTE(Tabelle1[[#This Row],[Am.Englisch]],";","&lt;/word&gt;&lt;word&gt;")&amp;"&lt;/word&gt;&lt;/solution&gt;&lt;/solutions&gt;","")</f>
        <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2610</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&lt;solutions&gt;&lt;solution&gt;&lt;tongue&gt;de&lt;/tongue&gt;&lt;word&gt;Flugzeug&lt;/word&gt;&lt;/solution&gt;&lt;solution&gt;&lt;tongue&gt;en&lt;/tongue&gt;&lt;word&gt;airplane&lt;/word&gt;&lt;/solution&gt;&lt;/solutions&gt;</v>
      </c>
      <c r="C70" t="str">
        <f>IF(ISTEXT(Tabelle1[[#This Row],[Am.Englisch]]),"&lt;solutions&gt;&lt;solution&gt;&lt;tongue&gt;en-us&lt;/tongue&gt;&lt;word&gt;"&amp;SUBSTITUTE(Tabelle1[[#This Row],[Am.Englisch]],";","&lt;/word&gt;&lt;word&gt;")&amp;"&lt;/word&gt;&lt;/solution&gt;&lt;/solutions&gt;","")</f>
        <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2611</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&lt;solutions&gt;&lt;solution&gt;&lt;tongue&gt;de&lt;/tongue&gt;&lt;word&gt;Weiblich&lt;/word&gt;&lt;/solution&gt;&lt;solution&gt;&lt;tongue&gt;en&lt;/tongue&gt;&lt;word&gt;female&lt;/word&gt;&lt;/solution&gt;&lt;/solutions&gt;</v>
      </c>
      <c r="C71" t="str">
        <f>IF(ISTEXT(Tabelle1[[#This Row],[Am.Englisch]]),"&lt;solutions&gt;&lt;solution&gt;&lt;tongue&gt;en-us&lt;/tongue&gt;&lt;word&gt;"&amp;SUBSTITUTE(Tabelle1[[#This Row],[Am.Englisch]],";","&lt;/word&gt;&lt;word&gt;")&amp;"&lt;/word&gt;&lt;/solution&gt;&lt;/solutions&gt;","")</f>
        <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2612</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&lt;solutions&gt;&lt;solution&gt;&lt;tongue&gt;de&lt;/tongue&gt;&lt;word&gt;Fuchs&lt;/word&gt;&lt;/solution&gt;&lt;solution&gt;&lt;tongue&gt;en&lt;/tongue&gt;&lt;word&gt;fox&lt;/word&gt;&lt;/solution&gt;&lt;/solutions&gt;</v>
      </c>
      <c r="C72" t="str">
        <f>IF(ISTEXT(Tabelle1[[#This Row],[Am.Englisch]]),"&lt;solutions&gt;&lt;solution&gt;&lt;tongue&gt;en-us&lt;/tongue&gt;&lt;word&gt;"&amp;SUBSTITUTE(Tabelle1[[#This Row],[Am.Englisch]],";","&lt;/word&gt;&lt;word&gt;")&amp;"&lt;/word&gt;&lt;/solution&gt;&lt;/solutions&gt;","")</f>
        <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2613</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&lt;solutions&gt;&lt;solution&gt;&lt;tongue&gt;de&lt;/tongue&gt;&lt;word&gt;Füsse&lt;/word&gt;&lt;/solution&gt;&lt;solution&gt;&lt;tongue&gt;en&lt;/tongue&gt;&lt;word&gt;feet&lt;/word&gt;&lt;/solution&gt;&lt;/solutions&gt;</v>
      </c>
      <c r="C73" t="str">
        <f>IF(ISTEXT(Tabelle1[[#This Row],[Am.Englisch]]),"&lt;solutions&gt;&lt;solution&gt;&lt;tongue&gt;en-us&lt;/tongue&gt;&lt;word&gt;"&amp;SUBSTITUTE(Tabelle1[[#This Row],[Am.Englisch]],";","&lt;/word&gt;&lt;word&gt;")&amp;"&lt;/word&gt;&lt;/solution&gt;&lt;/solutions&gt;","")</f>
        <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2614</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&lt;solutions&gt;&lt;solution&gt;&lt;tongue&gt;de&lt;/tongue&gt;&lt;word&gt;Fussball&lt;/word&gt;&lt;/solution&gt;&lt;solution&gt;&lt;tongue&gt;en&lt;/tongue&gt;&lt;word&gt;soccer&lt;/word&gt;&lt;/solution&gt;&lt;/solutions&gt;</v>
      </c>
      <c r="C74" t="str">
        <f>IF(ISTEXT(Tabelle1[[#This Row],[Am.Englisch]]),"&lt;solutions&gt;&lt;solution&gt;&lt;tongue&gt;en-us&lt;/tongue&gt;&lt;word&gt;"&amp;SUBSTITUTE(Tabelle1[[#This Row],[Am.Englisch]],";","&lt;/word&gt;&lt;word&gt;")&amp;"&lt;/word&gt;&lt;/solution&gt;&lt;/solutions&gt;","")</f>
        <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2615</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&lt;solutions&gt;&lt;solution&gt;&lt;tongue&gt;de&lt;/tongue&gt;&lt;word&gt;Fussgänger&lt;/word&gt;&lt;/solution&gt;&lt;solution&gt;&lt;tongue&gt;en&lt;/tongue&gt;&lt;word&gt;pedestrian&lt;/word&gt;&lt;/solution&gt;&lt;/solutions&gt;</v>
      </c>
      <c r="C75" t="str">
        <f>IF(ISTEXT(Tabelle1[[#This Row],[Am.Englisch]]),"&lt;solutions&gt;&lt;solution&gt;&lt;tongue&gt;en-us&lt;/tongue&gt;&lt;word&gt;"&amp;SUBSTITUTE(Tabelle1[[#This Row],[Am.Englisch]],";","&lt;/word&gt;&lt;word&gt;")&amp;"&lt;/word&gt;&lt;/solution&gt;&lt;/solutions&gt;","")</f>
        <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2616</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&lt;solutions&gt;&lt;solution&gt;&lt;tongue&gt;de&lt;/tongue&gt;&lt;word&gt;Gedanken&lt;/word&gt;&lt;/solution&gt;&lt;solution&gt;&lt;tongue&gt;en&lt;/tongue&gt;&lt;word&gt;thought&lt;/word&gt;&lt;/solution&gt;&lt;/solutions&gt;</v>
      </c>
      <c r="C76" t="str">
        <f>IF(ISTEXT(Tabelle1[[#This Row],[Am.Englisch]]),"&lt;solutions&gt;&lt;solution&gt;&lt;tongue&gt;en-us&lt;/tongue&gt;&lt;word&gt;"&amp;SUBSTITUTE(Tabelle1[[#This Row],[Am.Englisch]],";","&lt;/word&gt;&lt;word&gt;")&amp;"&lt;/word&gt;&lt;/solution&gt;&lt;/solutions&gt;","")</f>
        <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2617</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&lt;solutions&gt;&lt;solution&gt;&lt;tongue&gt;de&lt;/tongue&gt;&lt;word&gt;Gefängnis&lt;/word&gt;&lt;/solution&gt;&lt;solution&gt;&lt;tongue&gt;en&lt;/tongue&gt;&lt;word&gt;jail&lt;/word&gt;&lt;/solution&gt;&lt;/solutions&gt;</v>
      </c>
      <c r="C77" t="str">
        <f>IF(ISTEXT(Tabelle1[[#This Row],[Am.Englisch]]),"&lt;solutions&gt;&lt;solution&gt;&lt;tongue&gt;en-us&lt;/tongue&gt;&lt;word&gt;"&amp;SUBSTITUTE(Tabelle1[[#This Row],[Am.Englisch]],";","&lt;/word&gt;&lt;word&gt;")&amp;"&lt;/word&gt;&lt;/solution&gt;&lt;/solutions&gt;","")</f>
        <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2618</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&lt;solutions&gt;&lt;solution&gt;&lt;tongue&gt;de&lt;/tongue&gt;&lt;word&gt;Gehirn&lt;/word&gt;&lt;/solution&gt;&lt;solution&gt;&lt;tongue&gt;en&lt;/tongue&gt;&lt;word&gt;brain&lt;/word&gt;&lt;/solution&gt;&lt;/solutions&gt;</v>
      </c>
      <c r="C78" t="str">
        <f>IF(ISTEXT(Tabelle1[[#This Row],[Am.Englisch]]),"&lt;solutions&gt;&lt;solution&gt;&lt;tongue&gt;en-us&lt;/tongue&gt;&lt;word&gt;"&amp;SUBSTITUTE(Tabelle1[[#This Row],[Am.Englisch]],";","&lt;/word&gt;&lt;word&gt;")&amp;"&lt;/word&gt;&lt;/solution&gt;&lt;/solutions&gt;","")</f>
        <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2619</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&lt;solutions&gt;&lt;solution&gt;&lt;tongue&gt;de&lt;/tongue&gt;&lt;word&gt;Geschlecht&lt;/word&gt;&lt;/solution&gt;&lt;solution&gt;&lt;tongue&gt;en&lt;/tongue&gt;&lt;word&gt;gender&lt;/word&gt;&lt;/solution&gt;&lt;/solutions&gt;</v>
      </c>
      <c r="C79" t="str">
        <f>IF(ISTEXT(Tabelle1[[#This Row],[Am.Englisch]]),"&lt;solutions&gt;&lt;solution&gt;&lt;tongue&gt;en-us&lt;/tongue&gt;&lt;word&gt;"&amp;SUBSTITUTE(Tabelle1[[#This Row],[Am.Englisch]],";","&lt;/word&gt;&lt;word&gt;")&amp;"&lt;/word&gt;&lt;/solution&gt;&lt;/solutions&gt;","")</f>
        <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2620</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&lt;solutions&gt;&lt;solution&gt;&lt;tongue&gt;de&lt;/tongue&gt;&lt;word&gt;Gespenst&lt;/word&gt;&lt;/solution&gt;&lt;solution&gt;&lt;tongue&gt;en&lt;/tongue&gt;&lt;word&gt;ghost&lt;/word&gt;&lt;/solution&gt;&lt;/solutions&gt;</v>
      </c>
      <c r="C80" t="str">
        <f>IF(ISTEXT(Tabelle1[[#This Row],[Am.Englisch]]),"&lt;solutions&gt;&lt;solution&gt;&lt;tongue&gt;en-us&lt;/tongue&gt;&lt;word&gt;"&amp;SUBSTITUTE(Tabelle1[[#This Row],[Am.Englisch]],";","&lt;/word&gt;&lt;word&gt;")&amp;"&lt;/word&gt;&lt;/solution&gt;&lt;/solutions&gt;","")</f>
        <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2621</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&lt;solutions&gt;&lt;solution&gt;&lt;tongue&gt;de&lt;/tongue&gt;&lt;word&gt;Gewitter&lt;/word&gt;&lt;/solution&gt;&lt;solution&gt;&lt;tongue&gt;en&lt;/tongue&gt;&lt;word&gt;lightning&lt;/word&gt;&lt;/solution&gt;&lt;/solutions&gt;</v>
      </c>
      <c r="C81" t="str">
        <f>IF(ISTEXT(Tabelle1[[#This Row],[Am.Englisch]]),"&lt;solutions&gt;&lt;solution&gt;&lt;tongue&gt;en-us&lt;/tongue&gt;&lt;word&gt;"&amp;SUBSTITUTE(Tabelle1[[#This Row],[Am.Englisch]],";","&lt;/word&gt;&lt;word&gt;")&amp;"&lt;/word&gt;&lt;/solution&gt;&lt;/solutions&gt;","")</f>
        <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2622</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&lt;solutions&gt;&lt;solution&gt;&lt;tongue&gt;de&lt;/tongue&gt;&lt;word&gt;Globus&lt;/word&gt;&lt;/solution&gt;&lt;solution&gt;&lt;tongue&gt;en&lt;/tongue&gt;&lt;word&gt;globe&lt;/word&gt;&lt;/solution&gt;&lt;/solutions&gt;</v>
      </c>
      <c r="C82" t="str">
        <f>IF(ISTEXT(Tabelle1[[#This Row],[Am.Englisch]]),"&lt;solutions&gt;&lt;solution&gt;&lt;tongue&gt;en-us&lt;/tongue&gt;&lt;word&gt;"&amp;SUBSTITUTE(Tabelle1[[#This Row],[Am.Englisch]],";","&lt;/word&gt;&lt;word&gt;")&amp;"&lt;/word&gt;&lt;/solution&gt;&lt;/solutions&gt;","")</f>
        <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2623</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&lt;solutions&gt;&lt;solution&gt;&lt;tongue&gt;de&lt;/tongue&gt;&lt;word&gt;Glühbirne&lt;/word&gt;&lt;/solution&gt;&lt;solution&gt;&lt;tongue&gt;en&lt;/tongue&gt;&lt;word&gt;lightbulb&lt;/word&gt;&lt;/solution&gt;&lt;/solutions&gt;</v>
      </c>
      <c r="C83" t="str">
        <f>IF(ISTEXT(Tabelle1[[#This Row],[Am.Englisch]]),"&lt;solutions&gt;&lt;solution&gt;&lt;tongue&gt;en-us&lt;/tongue&gt;&lt;word&gt;"&amp;SUBSTITUTE(Tabelle1[[#This Row],[Am.Englisch]],";","&lt;/word&gt;&lt;word&gt;")&amp;"&lt;/word&gt;&lt;/solution&gt;&lt;/solutions&gt;","")</f>
        <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2624</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&lt;solutions&gt;&lt;solution&gt;&lt;tongue&gt;de&lt;/tongue&gt;&lt;word&gt;Graben&lt;/word&gt;&lt;/solution&gt;&lt;solution&gt;&lt;tongue&gt;en&lt;/tongue&gt;&lt;word&gt;ditch&lt;/word&gt;&lt;/solution&gt;&lt;/solutions&gt;</v>
      </c>
      <c r="C84" t="str">
        <f>IF(ISTEXT(Tabelle1[[#This Row],[Am.Englisch]]),"&lt;solutions&gt;&lt;solution&gt;&lt;tongue&gt;en-us&lt;/tongue&gt;&lt;word&gt;"&amp;SUBSTITUTE(Tabelle1[[#This Row],[Am.Englisch]],";","&lt;/word&gt;&lt;word&gt;")&amp;"&lt;/word&gt;&lt;/solution&gt;&lt;/solutions&gt;","")</f>
        <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2625</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&lt;solutions&gt;&lt;solution&gt;&lt;tongue&gt;de&lt;/tongue&gt;&lt;word&gt;Gras&lt;/word&gt;&lt;/solution&gt;&lt;solution&gt;&lt;tongue&gt;en&lt;/tongue&gt;&lt;word&gt;grass&lt;/word&gt;&lt;/solution&gt;&lt;/solutions&gt;</v>
      </c>
      <c r="C85" t="str">
        <f>IF(ISTEXT(Tabelle1[[#This Row],[Am.Englisch]]),"&lt;solutions&gt;&lt;solution&gt;&lt;tongue&gt;en-us&lt;/tongue&gt;&lt;word&gt;"&amp;SUBSTITUTE(Tabelle1[[#This Row],[Am.Englisch]],";","&lt;/word&gt;&lt;word&gt;")&amp;"&lt;/word&gt;&lt;/solution&gt;&lt;/solutions&gt;","")</f>
        <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2626</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&lt;solutions&gt;&lt;solution&gt;&lt;tongue&gt;de&lt;/tongue&gt;&lt;word&gt;Gummibär&lt;/word&gt;&lt;/solution&gt;&lt;solution&gt;&lt;tongue&gt;en&lt;/tongue&gt;&lt;word&gt;gummibear&lt;/word&gt;&lt;/solution&gt;&lt;/solutions&gt;</v>
      </c>
      <c r="C86" t="str">
        <f>IF(ISTEXT(Tabelle1[[#This Row],[Am.Englisch]]),"&lt;solutions&gt;&lt;solution&gt;&lt;tongue&gt;en-us&lt;/tongue&gt;&lt;word&gt;"&amp;SUBSTITUTE(Tabelle1[[#This Row],[Am.Englisch]],";","&lt;/word&gt;&lt;word&gt;")&amp;"&lt;/word&gt;&lt;/solution&gt;&lt;/solutions&gt;","")</f>
        <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2627</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&lt;solutions&gt;&lt;solution&gt;&lt;tongue&gt;de&lt;/tongue&gt;&lt;word&gt;Gurke&lt;/word&gt;&lt;/solution&gt;&lt;solution&gt;&lt;tongue&gt;en&lt;/tongue&gt;&lt;word&gt;cucumber&lt;/word&gt;&lt;/solution&gt;&lt;/solutions&gt;</v>
      </c>
      <c r="C87" t="str">
        <f>IF(ISTEXT(Tabelle1[[#This Row],[Am.Englisch]]),"&lt;solutions&gt;&lt;solution&gt;&lt;tongue&gt;en-us&lt;/tongue&gt;&lt;word&gt;"&amp;SUBSTITUTE(Tabelle1[[#This Row],[Am.Englisch]],";","&lt;/word&gt;&lt;word&gt;")&amp;"&lt;/word&gt;&lt;/solution&gt;&lt;/solutions&gt;","")</f>
        <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2628</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&lt;solutions&gt;&lt;solution&gt;&lt;tongue&gt;de&lt;/tongue&gt;&lt;word&gt;hahn&lt;/word&gt;&lt;/solution&gt;&lt;solution&gt;&lt;tongue&gt;en&lt;/tongue&gt;&lt;word&gt;rooster&lt;/word&gt;&lt;/solution&gt;&lt;/solutions&gt;</v>
      </c>
      <c r="C88" t="str">
        <f>IF(ISTEXT(Tabelle1[[#This Row],[Am.Englisch]]),"&lt;solutions&gt;&lt;solution&gt;&lt;tongue&gt;en-us&lt;/tongue&gt;&lt;word&gt;"&amp;SUBSTITUTE(Tabelle1[[#This Row],[Am.Englisch]],";","&lt;/word&gt;&lt;word&gt;")&amp;"&lt;/word&gt;&lt;/solution&gt;&lt;/solutions&gt;","")</f>
        <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2629</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&lt;solutions&gt;&lt;solution&gt;&lt;tongue&gt;de&lt;/tongue&gt;&lt;word&gt;Halloween&lt;/word&gt;&lt;/solution&gt;&lt;solution&gt;&lt;tongue&gt;en&lt;/tongue&gt;&lt;word&gt;halloween&lt;/word&gt;&lt;/solution&gt;&lt;/solutions&gt;</v>
      </c>
      <c r="C89" t="str">
        <f>IF(ISTEXT(Tabelle1[[#This Row],[Am.Englisch]]),"&lt;solutions&gt;&lt;solution&gt;&lt;tongue&gt;en-us&lt;/tongue&gt;&lt;word&gt;"&amp;SUBSTITUTE(Tabelle1[[#This Row],[Am.Englisch]],";","&lt;/word&gt;&lt;word&gt;")&amp;"&lt;/word&gt;&lt;/solution&gt;&lt;/solutions&gt;","")</f>
        <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2630</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&lt;solutions&gt;&lt;solution&gt;&lt;tongue&gt;de&lt;/tongue&gt;&lt;word&gt;hand&lt;/word&gt;&lt;/solution&gt;&lt;solution&gt;&lt;tongue&gt;en&lt;/tongue&gt;&lt;word&gt;hand&lt;/word&gt;&lt;/solution&gt;&lt;/solutions&gt;</v>
      </c>
      <c r="C90" t="str">
        <f>IF(ISTEXT(Tabelle1[[#This Row],[Am.Englisch]]),"&lt;solutions&gt;&lt;solution&gt;&lt;tongue&gt;en-us&lt;/tongue&gt;&lt;word&gt;"&amp;SUBSTITUTE(Tabelle1[[#This Row],[Am.Englisch]],";","&lt;/word&gt;&lt;word&gt;")&amp;"&lt;/word&gt;&lt;/solution&gt;&lt;/solutions&gt;","")</f>
        <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2631</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&lt;solutions&gt;&lt;solution&gt;&lt;tongue&gt;de&lt;/tongue&gt;&lt;word&gt;Hase&lt;/word&gt;&lt;/solution&gt;&lt;solution&gt;&lt;tongue&gt;en&lt;/tongue&gt;&lt;word&gt;rabbit&lt;/word&gt;&lt;/solution&gt;&lt;/solutions&gt;</v>
      </c>
      <c r="C91" t="str">
        <f>IF(ISTEXT(Tabelle1[[#This Row],[Am.Englisch]]),"&lt;solutions&gt;&lt;solution&gt;&lt;tongue&gt;en-us&lt;/tongue&gt;&lt;word&gt;"&amp;SUBSTITUTE(Tabelle1[[#This Row],[Am.Englisch]],";","&lt;/word&gt;&lt;word&gt;")&amp;"&lt;/word&gt;&lt;/solution&gt;&lt;/solutions&gt;","")</f>
        <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2632</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&lt;solutions&gt;&lt;solution&gt;&lt;tongue&gt;de&lt;/tongue&gt;&lt;word&gt;Haus&lt;/word&gt;&lt;/solution&gt;&lt;solution&gt;&lt;tongue&gt;en&lt;/tongue&gt;&lt;word&gt;house&lt;/word&gt;&lt;/solution&gt;&lt;/solutions&gt;</v>
      </c>
      <c r="C92" t="str">
        <f>IF(ISTEXT(Tabelle1[[#This Row],[Am.Englisch]]),"&lt;solutions&gt;&lt;solution&gt;&lt;tongue&gt;en-us&lt;/tongue&gt;&lt;word&gt;"&amp;SUBSTITUTE(Tabelle1[[#This Row],[Am.Englisch]],";","&lt;/word&gt;&lt;word&gt;")&amp;"&lt;/word&gt;&lt;/solution&gt;&lt;/solutions&gt;","")</f>
        <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2633</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&lt;solutions&gt;&lt;solution&gt;&lt;tongue&gt;de&lt;/tongue&gt;&lt;word&gt;Heissluftballon&lt;/word&gt;&lt;/solution&gt;&lt;solution&gt;&lt;tongue&gt;en&lt;/tongue&gt;&lt;word&gt;aerostat&lt;/word&gt;&lt;/solution&gt;&lt;/solutions&gt;</v>
      </c>
      <c r="C93" t="str">
        <f>IF(ISTEXT(Tabelle1[[#This Row],[Am.Englisch]]),"&lt;solutions&gt;&lt;solution&gt;&lt;tongue&gt;en-us&lt;/tongue&gt;&lt;word&gt;"&amp;SUBSTITUTE(Tabelle1[[#This Row],[Am.Englisch]],";","&lt;/word&gt;&lt;word&gt;")&amp;"&lt;/word&gt;&lt;/solution&gt;&lt;/solutions&gt;","")</f>
        <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2634</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&lt;solutions&gt;&lt;solution&gt;&lt;tongue&gt;de&lt;/tongue&gt;&lt;word&gt;Herz&lt;/word&gt;&lt;/solution&gt;&lt;solution&gt;&lt;tongue&gt;en&lt;/tongue&gt;&lt;word&gt;hearth&lt;/word&gt;&lt;/solution&gt;&lt;/solutions&gt;</v>
      </c>
      <c r="C94" t="str">
        <f>IF(ISTEXT(Tabelle1[[#This Row],[Am.Englisch]]),"&lt;solutions&gt;&lt;solution&gt;&lt;tongue&gt;en-us&lt;/tongue&gt;&lt;word&gt;"&amp;SUBSTITUTE(Tabelle1[[#This Row],[Am.Englisch]],";","&lt;/word&gt;&lt;word&gt;")&amp;"&lt;/word&gt;&lt;/solution&gt;&lt;/solutions&gt;","")</f>
        <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2635</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&lt;solutions&gt;&lt;solution&gt;&lt;tongue&gt;de&lt;/tongue&gt;&lt;word&gt;Himbeeren&lt;/word&gt;&lt;/solution&gt;&lt;solution&gt;&lt;tongue&gt;en&lt;/tongue&gt;&lt;word&gt;raspberry&lt;/word&gt;&lt;/solution&gt;&lt;/solutions&gt;</v>
      </c>
      <c r="C95" t="str">
        <f>IF(ISTEXT(Tabelle1[[#This Row],[Am.Englisch]]),"&lt;solutions&gt;&lt;solution&gt;&lt;tongue&gt;en-us&lt;/tongue&gt;&lt;word&gt;"&amp;SUBSTITUTE(Tabelle1[[#This Row],[Am.Englisch]],";","&lt;/word&gt;&lt;word&gt;")&amp;"&lt;/word&gt;&lt;/solution&gt;&lt;/solutions&gt;","")</f>
        <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2636</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&lt;solutions&gt;&lt;solution&gt;&lt;tongue&gt;de&lt;/tongue&gt;&lt;word&gt;Himmel&lt;/word&gt;&lt;/solution&gt;&lt;solution&gt;&lt;tongue&gt;en&lt;/tongue&gt;&lt;word&gt;sky&lt;/word&gt;&lt;/solution&gt;&lt;/solutions&gt;</v>
      </c>
      <c r="C96" t="str">
        <f>IF(ISTEXT(Tabelle1[[#This Row],[Am.Englisch]]),"&lt;solutions&gt;&lt;solution&gt;&lt;tongue&gt;en-us&lt;/tongue&gt;&lt;word&gt;"&amp;SUBSTITUTE(Tabelle1[[#This Row],[Am.Englisch]],";","&lt;/word&gt;&lt;word&gt;")&amp;"&lt;/word&gt;&lt;/solution&gt;&lt;/solutions&gt;","")</f>
        <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2637</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&lt;solutions&gt;&lt;solution&gt;&lt;tongue&gt;de&lt;/tongue&gt;&lt;word&gt;Hochzeit&lt;/word&gt;&lt;/solution&gt;&lt;solution&gt;&lt;tongue&gt;en&lt;/tongue&gt;&lt;word&gt;wedding&lt;/word&gt;&lt;/solution&gt;&lt;/solutions&gt;</v>
      </c>
      <c r="C97" t="str">
        <f>IF(ISTEXT(Tabelle1[[#This Row],[Am.Englisch]]),"&lt;solutions&gt;&lt;solution&gt;&lt;tongue&gt;en-us&lt;/tongue&gt;&lt;word&gt;"&amp;SUBSTITUTE(Tabelle1[[#This Row],[Am.Englisch]],";","&lt;/word&gt;&lt;word&gt;")&amp;"&lt;/word&gt;&lt;/solution&gt;&lt;/solutions&gt;","")</f>
        <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2638</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&lt;solutions&gt;&lt;solution&gt;&lt;tongue&gt;de&lt;/tongue&gt;&lt;word&gt;Hummel&lt;/word&gt;&lt;/solution&gt;&lt;solution&gt;&lt;tongue&gt;en&lt;/tongue&gt;&lt;word&gt;bumblebee&lt;/word&gt;&lt;/solution&gt;&lt;/solutions&gt;</v>
      </c>
      <c r="C98" t="str">
        <f>IF(ISTEXT(Tabelle1[[#This Row],[Am.Englisch]]),"&lt;solutions&gt;&lt;solution&gt;&lt;tongue&gt;en-us&lt;/tongue&gt;&lt;word&gt;"&amp;SUBSTITUTE(Tabelle1[[#This Row],[Am.Englisch]],";","&lt;/word&gt;&lt;word&gt;")&amp;"&lt;/word&gt;&lt;/solution&gt;&lt;/solutions&gt;","")</f>
        <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2639</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&lt;solutions&gt;&lt;solution&gt;&lt;tongue&gt;de&lt;/tongue&gt;&lt;word&gt;Hut&lt;/word&gt;&lt;/solution&gt;&lt;solution&gt;&lt;tongue&gt;en&lt;/tongue&gt;&lt;word&gt;hat&lt;/word&gt;&lt;/solution&gt;&lt;/solutions&gt;</v>
      </c>
      <c r="C99" t="str">
        <f>IF(ISTEXT(Tabelle1[[#This Row],[Am.Englisch]]),"&lt;solutions&gt;&lt;solution&gt;&lt;tongue&gt;en-us&lt;/tongue&gt;&lt;word&gt;"&amp;SUBSTITUTE(Tabelle1[[#This Row],[Am.Englisch]],";","&lt;/word&gt;&lt;word&gt;")&amp;"&lt;/word&gt;&lt;/solution&gt;&lt;/solutions&gt;","")</f>
        <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2640</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&lt;solutions&gt;&lt;solution&gt;&lt;tongue&gt;de&lt;/tongue&gt;&lt;word&gt;Kabel&lt;/word&gt;&lt;/solution&gt;&lt;solution&gt;&lt;tongue&gt;en&lt;/tongue&gt;&lt;word&gt;cable&lt;/word&gt;&lt;/solution&gt;&lt;/solutions&gt;</v>
      </c>
      <c r="C100" t="str">
        <f>IF(ISTEXT(Tabelle1[[#This Row],[Am.Englisch]]),"&lt;solutions&gt;&lt;solution&gt;&lt;tongue&gt;en-us&lt;/tongue&gt;&lt;word&gt;"&amp;SUBSTITUTE(Tabelle1[[#This Row],[Am.Englisch]],";","&lt;/word&gt;&lt;word&gt;")&amp;"&lt;/word&gt;&lt;/solution&gt;&lt;/solutions&gt;","")</f>
        <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2641</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&lt;solutions&gt;&lt;solution&gt;&lt;tongue&gt;de&lt;/tongue&gt;&lt;word&gt;Marienkäfer&lt;/word&gt;&lt;/solution&gt;&lt;solution&gt;&lt;tongue&gt;en&lt;/tongue&gt;&lt;word&gt;ladybeetle&lt;/word&gt;&lt;word&gt;ladybird&lt;/word&gt;&lt;/solution&gt;&lt;/solutions&gt;</v>
      </c>
      <c r="C101" t="str">
        <f>IF(ISTEXT(Tabelle1[[#This Row],[Am.Englisch]]),"&lt;solutions&gt;&lt;solution&gt;&lt;tongue&gt;en-us&lt;/tongue&gt;&lt;word&gt;"&amp;SUBSTITUTE(Tabelle1[[#This Row],[Am.Englisch]],";","&lt;/word&gt;&lt;word&gt;")&amp;"&lt;/word&gt;&lt;/solution&gt;&lt;/solutions&gt;","")</f>
        <v>&lt;solutions&gt;&lt;solution&gt;&lt;tongue&gt;en-us&lt;/tongue&gt;&lt;word&gt;ladybug&lt;/word&gt;&lt;word&gt;ladybird&lt;/word&gt;&lt;/solution&gt;&lt;/solutions&gt;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s&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2642</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&lt;solutions&gt;&lt;solution&gt;&lt;tongue&gt;de&lt;/tongue&gt;&lt;word&gt;Känguru&lt;/word&gt;&lt;/solution&gt;&lt;solution&gt;&lt;tongue&gt;en&lt;/tongue&gt;&lt;word&gt;kangaroo&lt;/word&gt;&lt;/solution&gt;&lt;/solutions&gt;</v>
      </c>
      <c r="C102" t="str">
        <f>IF(ISTEXT(Tabelle1[[#This Row],[Am.Englisch]]),"&lt;solutions&gt;&lt;solution&gt;&lt;tongue&gt;en-us&lt;/tongue&gt;&lt;word&gt;"&amp;SUBSTITUTE(Tabelle1[[#This Row],[Am.Englisch]],";","&lt;/word&gt;&lt;word&gt;")&amp;"&lt;/word&gt;&lt;/solution&gt;&lt;/solutions&gt;","")</f>
        <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2643</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&lt;solutions&gt;&lt;solution&gt;&lt;tongue&gt;de&lt;/tongue&gt;&lt;word&gt;Kaffeebohne&lt;/word&gt;&lt;/solution&gt;&lt;solution&gt;&lt;tongue&gt;en&lt;/tongue&gt;&lt;word&gt;coffebean&lt;/word&gt;&lt;/solution&gt;&lt;/solutions&gt;</v>
      </c>
      <c r="C103" t="str">
        <f>IF(ISTEXT(Tabelle1[[#This Row],[Am.Englisch]]),"&lt;solutions&gt;&lt;solution&gt;&lt;tongue&gt;en-us&lt;/tongue&gt;&lt;word&gt;"&amp;SUBSTITUTE(Tabelle1[[#This Row],[Am.Englisch]],";","&lt;/word&gt;&lt;word&gt;")&amp;"&lt;/word&gt;&lt;/solution&gt;&lt;/solutions&gt;","")</f>
        <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2644</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&lt;solutions&gt;&lt;solution&gt;&lt;tongue&gt;de&lt;/tongue&gt;&lt;word&gt;Kaktus&lt;/word&gt;&lt;/solution&gt;&lt;solution&gt;&lt;tongue&gt;en&lt;/tongue&gt;&lt;word&gt;cactus&lt;/word&gt;&lt;/solution&gt;&lt;/solutions&gt;</v>
      </c>
      <c r="C104" t="str">
        <f>IF(ISTEXT(Tabelle1[[#This Row],[Am.Englisch]]),"&lt;solutions&gt;&lt;solution&gt;&lt;tongue&gt;en-us&lt;/tongue&gt;&lt;word&gt;"&amp;SUBSTITUTE(Tabelle1[[#This Row],[Am.Englisch]],";","&lt;/word&gt;&lt;word&gt;")&amp;"&lt;/word&gt;&lt;/solution&gt;&lt;/solutions&gt;","")</f>
        <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2645</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&lt;solutions&gt;&lt;solution&gt;&lt;tongue&gt;de&lt;/tongue&gt;&lt;word&gt;Überwachung&lt;/word&gt;&lt;/solution&gt;&lt;solution&gt;&lt;tongue&gt;en&lt;/tongue&gt;&lt;word&gt;supervision&lt;/word&gt;&lt;/solution&gt;&lt;/solutions&gt;</v>
      </c>
      <c r="C105" t="str">
        <f>IF(ISTEXT(Tabelle1[[#This Row],[Am.Englisch]]),"&lt;solutions&gt;&lt;solution&gt;&lt;tongue&gt;en-us&lt;/tongue&gt;&lt;word&gt;"&amp;SUBSTITUTE(Tabelle1[[#This Row],[Am.Englisch]],";","&lt;/word&gt;&lt;word&gt;")&amp;"&lt;/word&gt;&lt;/solution&gt;&lt;/solutions&gt;","")</f>
        <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2646</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&lt;solutions&gt;&lt;solution&gt;&lt;tongue&gt;de&lt;/tongue&gt;&lt;word&gt;Kanone&lt;/word&gt;&lt;/solution&gt;&lt;solution&gt;&lt;tongue&gt;en&lt;/tongue&gt;&lt;word&gt;canon&lt;/word&gt;&lt;/solution&gt;&lt;/solutions&gt;</v>
      </c>
      <c r="C106" t="str">
        <f>IF(ISTEXT(Tabelle1[[#This Row],[Am.Englisch]]),"&lt;solutions&gt;&lt;solution&gt;&lt;tongue&gt;en-us&lt;/tongue&gt;&lt;word&gt;"&amp;SUBSTITUTE(Tabelle1[[#This Row],[Am.Englisch]],";","&lt;/word&gt;&lt;word&gt;")&amp;"&lt;/word&gt;&lt;/solution&gt;&lt;/solutions&gt;","")</f>
        <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2647</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&lt;solutions&gt;&lt;solution&gt;&lt;tongue&gt;de&lt;/tongue&gt;&lt;word&gt;Karate&lt;/word&gt;&lt;/solution&gt;&lt;solution&gt;&lt;tongue&gt;en&lt;/tongue&gt;&lt;word&gt;karate&lt;/word&gt;&lt;/solution&gt;&lt;/solutions&gt;</v>
      </c>
      <c r="C107" t="str">
        <f>IF(ISTEXT(Tabelle1[[#This Row],[Am.Englisch]]),"&lt;solutions&gt;&lt;solution&gt;&lt;tongue&gt;en-us&lt;/tongue&gt;&lt;word&gt;"&amp;SUBSTITUTE(Tabelle1[[#This Row],[Am.Englisch]],";","&lt;/word&gt;&lt;word&gt;")&amp;"&lt;/word&gt;&lt;/solution&gt;&lt;/solutions&gt;","")</f>
        <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2648</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&lt;solutions&gt;&lt;solution&gt;&lt;tongue&gt;de&lt;/tongue&gt;&lt;word&gt;Karten&lt;/word&gt;&lt;/solution&gt;&lt;solution&gt;&lt;tongue&gt;en&lt;/tongue&gt;&lt;word&gt;cards&lt;/word&gt;&lt;/solution&gt;&lt;/solutions&gt;</v>
      </c>
      <c r="C108" t="str">
        <f>IF(ISTEXT(Tabelle1[[#This Row],[Am.Englisch]]),"&lt;solutions&gt;&lt;solution&gt;&lt;tongue&gt;en-us&lt;/tongue&gt;&lt;word&gt;"&amp;SUBSTITUTE(Tabelle1[[#This Row],[Am.Englisch]],";","&lt;/word&gt;&lt;word&gt;")&amp;"&lt;/word&gt;&lt;/solution&gt;&lt;/solutions&gt;","")</f>
        <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v>
      </c>
      <c r="I108" s="14" t="s">
        <v>2649</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&lt;solutions&gt;&lt;solution&gt;&lt;tongue&gt;de&lt;/tongue&gt;&lt;word&gt;Kassette&lt;/word&gt;&lt;/solution&gt;&lt;solution&gt;&lt;tongue&gt;en&lt;/tongue&gt;&lt;word&gt;cassette&lt;/word&gt;&lt;/solution&gt;&lt;/solutions&gt;</v>
      </c>
      <c r="C109" t="str">
        <f>IF(ISTEXT(Tabelle1[[#This Row],[Am.Englisch]]),"&lt;solutions&gt;&lt;solution&gt;&lt;tongue&gt;en-us&lt;/tongue&gt;&lt;word&gt;"&amp;SUBSTITUTE(Tabelle1[[#This Row],[Am.Englisch]],";","&lt;/word&gt;&lt;word&gt;")&amp;"&lt;/word&gt;&lt;/solution&gt;&lt;/solutions&gt;","")</f>
        <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2650</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&lt;solutions&gt;&lt;solution&gt;&lt;tongue&gt;de&lt;/tongue&gt;&lt;word&gt;Kastanien&lt;/word&gt;&lt;/solution&gt;&lt;solution&gt;&lt;tongue&gt;en&lt;/tongue&gt;&lt;word&gt;chestnuts&lt;/word&gt;&lt;/solution&gt;&lt;/solutions&gt;</v>
      </c>
      <c r="C110" t="str">
        <f>IF(ISTEXT(Tabelle1[[#This Row],[Am.Englisch]]),"&lt;solutions&gt;&lt;solution&gt;&lt;tongue&gt;en-us&lt;/tongue&gt;&lt;word&gt;"&amp;SUBSTITUTE(Tabelle1[[#This Row],[Am.Englisch]],";","&lt;/word&gt;&lt;word&gt;")&amp;"&lt;/word&gt;&lt;/solution&gt;&lt;/solutions&gt;","")</f>
        <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2651</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&lt;solutions&gt;&lt;solution&gt;&lt;tongue&gt;de&lt;/tongue&gt;&lt;word&gt;Katze&lt;/word&gt;&lt;/solution&gt;&lt;solution&gt;&lt;tongue&gt;en&lt;/tongue&gt;&lt;word&gt;cat&lt;/word&gt;&lt;/solution&gt;&lt;/solutions&gt;</v>
      </c>
      <c r="C111" t="str">
        <f>IF(ISTEXT(Tabelle1[[#This Row],[Am.Englisch]]),"&lt;solutions&gt;&lt;solution&gt;&lt;tongue&gt;en-us&lt;/tongue&gt;&lt;word&gt;"&amp;SUBSTITUTE(Tabelle1[[#This Row],[Am.Englisch]],";","&lt;/word&gt;&lt;word&gt;")&amp;"&lt;/word&gt;&lt;/solution&gt;&lt;/solutions&gt;","")</f>
        <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2652</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&lt;solutions&gt;&lt;solution&gt;&lt;tongue&gt;de&lt;/tongue&gt;&lt;word&gt;Kegel&lt;/word&gt;&lt;/solution&gt;&lt;solution&gt;&lt;tongue&gt;en&lt;/tongue&gt;&lt;word&gt;bowlingpins&lt;/word&gt;&lt;/solution&gt;&lt;/solutions&gt;</v>
      </c>
      <c r="C112" t="str">
        <f>IF(ISTEXT(Tabelle1[[#This Row],[Am.Englisch]]),"&lt;solutions&gt;&lt;solution&gt;&lt;tongue&gt;en-us&lt;/tongue&gt;&lt;word&gt;"&amp;SUBSTITUTE(Tabelle1[[#This Row],[Am.Englisch]],";","&lt;/word&gt;&lt;word&gt;")&amp;"&lt;/word&gt;&lt;/solution&gt;&lt;/solutions&gt;","")</f>
        <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2653</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&lt;solutions&gt;&lt;solution&gt;&lt;tongue&gt;de&lt;/tongue&gt;&lt;word&gt;Kerze&lt;/word&gt;&lt;/solution&gt;&lt;solution&gt;&lt;tongue&gt;en&lt;/tongue&gt;&lt;word&gt;candle&lt;/word&gt;&lt;/solution&gt;&lt;/solutions&gt;</v>
      </c>
      <c r="C113" t="str">
        <f>IF(ISTEXT(Tabelle1[[#This Row],[Am.Englisch]]),"&lt;solutions&gt;&lt;solution&gt;&lt;tongue&gt;en-us&lt;/tongue&gt;&lt;word&gt;"&amp;SUBSTITUTE(Tabelle1[[#This Row],[Am.Englisch]],";","&lt;/word&gt;&lt;word&gt;")&amp;"&lt;/word&gt;&lt;/solution&gt;&lt;/solutions&gt;","")</f>
        <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2654</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&lt;solutions&gt;&lt;solution&gt;&lt;tongue&gt;de&lt;/tongue&gt;&lt;word&gt;Kette&lt;/word&gt;&lt;/solution&gt;&lt;solution&gt;&lt;tongue&gt;en&lt;/tongue&gt;&lt;word&gt;chain&lt;/word&gt;&lt;/solution&gt;&lt;/solutions&gt;</v>
      </c>
      <c r="C114" t="str">
        <f>IF(ISTEXT(Tabelle1[[#This Row],[Am.Englisch]]),"&lt;solutions&gt;&lt;solution&gt;&lt;tongue&gt;en-us&lt;/tongue&gt;&lt;word&gt;"&amp;SUBSTITUTE(Tabelle1[[#This Row],[Am.Englisch]],";","&lt;/word&gt;&lt;word&gt;")&amp;"&lt;/word&gt;&lt;/solution&gt;&lt;/solutions&gt;","")</f>
        <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2655</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&lt;solutions&gt;&lt;solution&gt;&lt;tongue&gt;de&lt;/tongue&gt;&lt;word&gt;Kirche&lt;/word&gt;&lt;/solution&gt;&lt;solution&gt;&lt;tongue&gt;en&lt;/tongue&gt;&lt;word&gt;church&lt;/word&gt;&lt;/solution&gt;&lt;/solutions&gt;</v>
      </c>
      <c r="C115" t="str">
        <f>IF(ISTEXT(Tabelle1[[#This Row],[Am.Englisch]]),"&lt;solutions&gt;&lt;solution&gt;&lt;tongue&gt;en-us&lt;/tongue&gt;&lt;word&gt;"&amp;SUBSTITUTE(Tabelle1[[#This Row],[Am.Englisch]],";","&lt;/word&gt;&lt;word&gt;")&amp;"&lt;/word&gt;&lt;/solution&gt;&lt;/solutions&gt;","")</f>
        <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2656</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&lt;solutions&gt;&lt;solution&gt;&lt;tongue&gt;de&lt;/tongue&gt;&lt;word&gt;Kirsche&lt;/word&gt;&lt;/solution&gt;&lt;solution&gt;&lt;tongue&gt;en&lt;/tongue&gt;&lt;word&gt;cherry&lt;/word&gt;&lt;/solution&gt;&lt;/solutions&gt;</v>
      </c>
      <c r="C116" t="str">
        <f>IF(ISTEXT(Tabelle1[[#This Row],[Am.Englisch]]),"&lt;solutions&gt;&lt;solution&gt;&lt;tongue&gt;en-us&lt;/tongue&gt;&lt;word&gt;"&amp;SUBSTITUTE(Tabelle1[[#This Row],[Am.Englisch]],";","&lt;/word&gt;&lt;word&gt;")&amp;"&lt;/word&gt;&lt;/solution&gt;&lt;/solutions&gt;","")</f>
        <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2657</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&lt;solutions&gt;&lt;solution&gt;&lt;tongue&gt;de&lt;/tongue&gt;&lt;word&gt;Klavier&lt;/word&gt;&lt;/solution&gt;&lt;solution&gt;&lt;tongue&gt;en&lt;/tongue&gt;&lt;word&gt;piano&lt;/word&gt;&lt;/solution&gt;&lt;/solutions&gt;</v>
      </c>
      <c r="C117" t="str">
        <f>IF(ISTEXT(Tabelle1[[#This Row],[Am.Englisch]]),"&lt;solutions&gt;&lt;solution&gt;&lt;tongue&gt;en-us&lt;/tongue&gt;&lt;word&gt;"&amp;SUBSTITUTE(Tabelle1[[#This Row],[Am.Englisch]],";","&lt;/word&gt;&lt;word&gt;")&amp;"&lt;/word&gt;&lt;/solution&gt;&lt;/solutions&gt;","")</f>
        <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2658</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&lt;solutions&gt;&lt;solution&gt;&lt;tongue&gt;de&lt;/tongue&gt;&lt;word&gt;Kleeblatt&lt;/word&gt;&lt;/solution&gt;&lt;solution&gt;&lt;tongue&gt;en&lt;/tongue&gt;&lt;word&gt;shamrock&lt;/word&gt;&lt;/solution&gt;&lt;/solutions&gt;</v>
      </c>
      <c r="C118" t="str">
        <f>IF(ISTEXT(Tabelle1[[#This Row],[Am.Englisch]]),"&lt;solutions&gt;&lt;solution&gt;&lt;tongue&gt;en-us&lt;/tongue&gt;&lt;word&gt;"&amp;SUBSTITUTE(Tabelle1[[#This Row],[Am.Englisch]],";","&lt;/word&gt;&lt;word&gt;")&amp;"&lt;/word&gt;&lt;/solution&gt;&lt;/solutions&gt;","")</f>
        <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2659</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&lt;solutions&gt;&lt;solution&gt;&lt;tongue&gt;de&lt;/tongue&gt;&lt;word&gt;Knochen&lt;/word&gt;&lt;/solution&gt;&lt;solution&gt;&lt;tongue&gt;en&lt;/tongue&gt;&lt;word&gt;bone&lt;/word&gt;&lt;/solution&gt;&lt;/solutions&gt;</v>
      </c>
      <c r="C119" t="str">
        <f>IF(ISTEXT(Tabelle1[[#This Row],[Am.Englisch]]),"&lt;solutions&gt;&lt;solution&gt;&lt;tongue&gt;en-us&lt;/tongue&gt;&lt;word&gt;"&amp;SUBSTITUTE(Tabelle1[[#This Row],[Am.Englisch]],";","&lt;/word&gt;&lt;word&gt;")&amp;"&lt;/word&gt;&lt;/solution&gt;&lt;/solutions&gt;","")</f>
        <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2660</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&lt;solutions&gt;&lt;solution&gt;&lt;tongue&gt;de&lt;/tongue&gt;&lt;word&gt;Kolibri&lt;/word&gt;&lt;/solution&gt;&lt;solution&gt;&lt;tongue&gt;en&lt;/tongue&gt;&lt;word&gt;hummingbird&lt;/word&gt;&lt;/solution&gt;&lt;/solutions&gt;</v>
      </c>
      <c r="C120" t="str">
        <f>IF(ISTEXT(Tabelle1[[#This Row],[Am.Englisch]]),"&lt;solutions&gt;&lt;solution&gt;&lt;tongue&gt;en-us&lt;/tongue&gt;&lt;word&gt;"&amp;SUBSTITUTE(Tabelle1[[#This Row],[Am.Englisch]],";","&lt;/word&gt;&lt;word&gt;")&amp;"&lt;/word&gt;&lt;/solution&gt;&lt;/solutions&gt;","")</f>
        <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2661</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&lt;solutions&gt;&lt;solution&gt;&lt;tongue&gt;de&lt;/tongue&gt;&lt;word&gt;Kolosseum&lt;/word&gt;&lt;/solution&gt;&lt;solution&gt;&lt;tongue&gt;en&lt;/tongue&gt;&lt;word&gt;colosseum&lt;/word&gt;&lt;/solution&gt;&lt;/solutions&gt;</v>
      </c>
      <c r="C121" t="str">
        <f>IF(ISTEXT(Tabelle1[[#This Row],[Am.Englisch]]),"&lt;solutions&gt;&lt;solution&gt;&lt;tongue&gt;en-us&lt;/tongue&gt;&lt;word&gt;"&amp;SUBSTITUTE(Tabelle1[[#This Row],[Am.Englisch]],";","&lt;/word&gt;&lt;word&gt;")&amp;"&lt;/word&gt;&lt;/solution&gt;&lt;/solutions&gt;","")</f>
        <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2662</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mpass&lt;/word&gt;&lt;word&gt;Windrose&lt;/word&gt;&lt;/solution&gt;&lt;solution&gt;&lt;tongue&gt;en&lt;/tongue&gt;&lt;word&gt;compass&lt;/word&gt;&lt;word&gt;windrose&lt;/word&gt;&lt;/solution&gt;&lt;/solutions&gt;</v>
      </c>
      <c r="C122" t="str">
        <f>IF(ISTEXT(Tabelle1[[#This Row],[Am.Englisch]]),"&lt;solutions&gt;&lt;solution&gt;&lt;tongue&gt;en-us&lt;/tongue&gt;&lt;word&gt;"&amp;SUBSTITUTE(Tabelle1[[#This Row],[Am.Englisch]],";","&lt;/word&gt;&lt;word&gt;")&amp;"&lt;/word&gt;&lt;/solution&gt;&lt;/solutions&gt;","")</f>
        <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2663</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&lt;solutions&gt;&lt;solution&gt;&lt;tongue&gt;de&lt;/tongue&gt;&lt;word&gt;Kopf&lt;/word&gt;&lt;/solution&gt;&lt;solution&gt;&lt;tongue&gt;en&lt;/tongue&gt;&lt;word&gt;head&lt;/word&gt;&lt;/solution&gt;&lt;/solutions&gt;</v>
      </c>
      <c r="C123" t="str">
        <f>IF(ISTEXT(Tabelle1[[#This Row],[Am.Englisch]]),"&lt;solutions&gt;&lt;solution&gt;&lt;tongue&gt;en-us&lt;/tongue&gt;&lt;word&gt;"&amp;SUBSTITUTE(Tabelle1[[#This Row],[Am.Englisch]],";","&lt;/word&gt;&lt;word&gt;")&amp;"&lt;/word&gt;&lt;/solution&gt;&lt;/solutions&gt;","")</f>
        <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2664</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&lt;solutions&gt;&lt;solution&gt;&lt;tongue&gt;de&lt;/tongue&gt;&lt;word&gt;Korb&lt;/word&gt;&lt;/solution&gt;&lt;solution&gt;&lt;tongue&gt;en&lt;/tongue&gt;&lt;word&gt;basket&lt;/word&gt;&lt;/solution&gt;&lt;/solutions&gt;</v>
      </c>
      <c r="C124" t="str">
        <f>IF(ISTEXT(Tabelle1[[#This Row],[Am.Englisch]]),"&lt;solutions&gt;&lt;solution&gt;&lt;tongue&gt;en-us&lt;/tongue&gt;&lt;word&gt;"&amp;SUBSTITUTE(Tabelle1[[#This Row],[Am.Englisch]],";","&lt;/word&gt;&lt;word&gt;")&amp;"&lt;/word&gt;&lt;/solution&gt;&lt;/solutions&gt;","")</f>
        <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2665</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&lt;solutions&gt;&lt;solution&gt;&lt;tongue&gt;de&lt;/tongue&gt;&lt;word&gt;Kran&lt;/word&gt;&lt;/solution&gt;&lt;solution&gt;&lt;tongue&gt;en&lt;/tongue&gt;&lt;word&gt;crane&lt;/word&gt;&lt;/solution&gt;&lt;/solutions&gt;</v>
      </c>
      <c r="C125" t="str">
        <f>IF(ISTEXT(Tabelle1[[#This Row],[Am.Englisch]]),"&lt;solutions&gt;&lt;solution&gt;&lt;tongue&gt;en-us&lt;/tongue&gt;&lt;word&gt;"&amp;SUBSTITUTE(Tabelle1[[#This Row],[Am.Englisch]],";","&lt;/word&gt;&lt;word&gt;")&amp;"&lt;/word&gt;&lt;/solution&gt;&lt;/solutions&gt;","")</f>
        <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2666</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&lt;solutions&gt;&lt;solution&gt;&lt;tongue&gt;de&lt;/tongue&gt;&lt;word&gt;Krone&lt;/word&gt;&lt;/solution&gt;&lt;solution&gt;&lt;tongue&gt;en&lt;/tongue&gt;&lt;word&gt;crown&lt;/word&gt;&lt;/solution&gt;&lt;/solutions&gt;</v>
      </c>
      <c r="C126" t="str">
        <f>IF(ISTEXT(Tabelle1[[#This Row],[Am.Englisch]]),"&lt;solutions&gt;&lt;solution&gt;&lt;tongue&gt;en-us&lt;/tongue&gt;&lt;word&gt;"&amp;SUBSTITUTE(Tabelle1[[#This Row],[Am.Englisch]],";","&lt;/word&gt;&lt;word&gt;")&amp;"&lt;/word&gt;&lt;/solution&gt;&lt;/solutions&gt;","")</f>
        <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2667</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&lt;solutions&gt;&lt;solution&gt;&lt;tongue&gt;de&lt;/tongue&gt;&lt;word&gt;Krug&lt;/word&gt;&lt;/solution&gt;&lt;solution&gt;&lt;tongue&gt;en&lt;/tongue&gt;&lt;word&gt;jug&lt;/word&gt;&lt;/solution&gt;&lt;/solutions&gt;</v>
      </c>
      <c r="C127" t="str">
        <f>IF(ISTEXT(Tabelle1[[#This Row],[Am.Englisch]]),"&lt;solutions&gt;&lt;solution&gt;&lt;tongue&gt;en-us&lt;/tongue&gt;&lt;word&gt;"&amp;SUBSTITUTE(Tabelle1[[#This Row],[Am.Englisch]],";","&lt;/word&gt;&lt;word&gt;")&amp;"&lt;/word&gt;&lt;/solution&gt;&lt;/solutions&gt;","")</f>
        <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2668</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&lt;solutions&gt;&lt;solution&gt;&lt;tongue&gt;de&lt;/tongue&gt;&lt;word&gt;Kuchen&lt;/word&gt;&lt;/solution&gt;&lt;solution&gt;&lt;tongue&gt;en&lt;/tongue&gt;&lt;word&gt;cake&lt;/word&gt;&lt;/solution&gt;&lt;/solutions&gt;</v>
      </c>
      <c r="C128" t="str">
        <f>IF(ISTEXT(Tabelle1[[#This Row],[Am.Englisch]]),"&lt;solutions&gt;&lt;solution&gt;&lt;tongue&gt;en-us&lt;/tongue&gt;&lt;word&gt;"&amp;SUBSTITUTE(Tabelle1[[#This Row],[Am.Englisch]],";","&lt;/word&gt;&lt;word&gt;")&amp;"&lt;/word&gt;&lt;/solution&gt;&lt;/solutions&gt;","")</f>
        <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2669</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&lt;solutions&gt;&lt;solution&gt;&lt;tongue&gt;de&lt;/tongue&gt;&lt;word&gt;Kürbis&lt;/word&gt;&lt;/solution&gt;&lt;solution&gt;&lt;tongue&gt;en&lt;/tongue&gt;&lt;word&gt;pumpkin&lt;/word&gt;&lt;/solution&gt;&lt;/solutions&gt;</v>
      </c>
      <c r="C129" t="str">
        <f>IF(ISTEXT(Tabelle1[[#This Row],[Am.Englisch]]),"&lt;solutions&gt;&lt;solution&gt;&lt;tongue&gt;en-us&lt;/tongue&gt;&lt;word&gt;"&amp;SUBSTITUTE(Tabelle1[[#This Row],[Am.Englisch]],";","&lt;/word&gt;&lt;word&gt;")&amp;"&lt;/word&gt;&lt;/solution&gt;&lt;/solutions&gt;","")</f>
        <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2670</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&lt;solutions&gt;&lt;solution&gt;&lt;tongue&gt;de&lt;/tongue&gt;&lt;word&gt;Lagerfeuer&lt;/word&gt;&lt;/solution&gt;&lt;solution&gt;&lt;tongue&gt;en&lt;/tongue&gt;&lt;word&gt;campfire&lt;/word&gt;&lt;/solution&gt;&lt;/solutions&gt;</v>
      </c>
      <c r="C130" t="str">
        <f>IF(ISTEXT(Tabelle1[[#This Row],[Am.Englisch]]),"&lt;solutions&gt;&lt;solution&gt;&lt;tongue&gt;en-us&lt;/tongue&gt;&lt;word&gt;"&amp;SUBSTITUTE(Tabelle1[[#This Row],[Am.Englisch]],";","&lt;/word&gt;&lt;word&gt;")&amp;"&lt;/word&gt;&lt;/solution&gt;&lt;/solutions&gt;","")</f>
        <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2671</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&lt;solutions&gt;&lt;solution&gt;&lt;tongue&gt;de&lt;/tongue&gt;&lt;word&gt;Strasse&lt;/word&gt;&lt;/solution&gt;&lt;solution&gt;&lt;tongue&gt;en&lt;/tongue&gt;&lt;word&gt;street&lt;/word&gt;&lt;/solution&gt;&lt;/solutions&gt;</v>
      </c>
      <c r="C131" t="str">
        <f>IF(ISTEXT(Tabelle1[[#This Row],[Am.Englisch]]),"&lt;solutions&gt;&lt;solution&gt;&lt;tongue&gt;en-us&lt;/tongue&gt;&lt;word&gt;"&amp;SUBSTITUTE(Tabelle1[[#This Row],[Am.Englisch]],";","&lt;/word&gt;&lt;word&gt;")&amp;"&lt;/word&gt;&lt;/solution&gt;&lt;/solutions&gt;","")</f>
        <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2672</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&lt;solutions&gt;&lt;solution&gt;&lt;tongue&gt;de&lt;/tongue&gt;&lt;word&gt;Lava&lt;/word&gt;&lt;/solution&gt;&lt;solution&gt;&lt;tongue&gt;en&lt;/tongue&gt;&lt;word&gt;lava&lt;/word&gt;&lt;/solution&gt;&lt;/solutions&gt;</v>
      </c>
      <c r="C132" t="str">
        <f>IF(ISTEXT(Tabelle1[[#This Row],[Am.Englisch]]),"&lt;solutions&gt;&lt;solution&gt;&lt;tongue&gt;en-us&lt;/tongue&gt;&lt;word&gt;"&amp;SUBSTITUTE(Tabelle1[[#This Row],[Am.Englisch]],";","&lt;/word&gt;&lt;word&gt;")&amp;"&lt;/word&gt;&lt;/solution&gt;&lt;/solutions&gt;","")</f>
        <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2673</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&lt;solutions&gt;&lt;solution&gt;&lt;tongue&gt;de&lt;/tongue&gt;&lt;word&gt;Lego&lt;/word&gt;&lt;/solution&gt;&lt;solution&gt;&lt;tongue&gt;en&lt;/tongue&gt;&lt;word&gt;lego&lt;/word&gt;&lt;/solution&gt;&lt;/solutions&gt;</v>
      </c>
      <c r="C133" t="str">
        <f>IF(ISTEXT(Tabelle1[[#This Row],[Am.Englisch]]),"&lt;solutions&gt;&lt;solution&gt;&lt;tongue&gt;en-us&lt;/tongue&gt;&lt;word&gt;"&amp;SUBSTITUTE(Tabelle1[[#This Row],[Am.Englisch]],";","&lt;/word&gt;&lt;word&gt;")&amp;"&lt;/word&gt;&lt;/solution&gt;&lt;/solutions&gt;","")</f>
        <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2674</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&lt;solutions&gt;&lt;solution&gt;&lt;tongue&gt;de&lt;/tongue&gt;&lt;word&gt;Leopard&lt;/word&gt;&lt;/solution&gt;&lt;solution&gt;&lt;tongue&gt;en&lt;/tongue&gt;&lt;word&gt;leopard&lt;/word&gt;&lt;/solution&gt;&lt;/solutions&gt;</v>
      </c>
      <c r="C134" t="str">
        <f>IF(ISTEXT(Tabelle1[[#This Row],[Am.Englisch]]),"&lt;solutions&gt;&lt;solution&gt;&lt;tongue&gt;en-us&lt;/tongue&gt;&lt;word&gt;"&amp;SUBSTITUTE(Tabelle1[[#This Row],[Am.Englisch]],";","&lt;/word&gt;&lt;word&gt;")&amp;"&lt;/word&gt;&lt;/solution&gt;&lt;/solutions&gt;","")</f>
        <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2675</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&lt;solutions&gt;&lt;solution&gt;&lt;tongue&gt;de&lt;/tongue&gt;&lt;word&gt;Leuchtturm&lt;/word&gt;&lt;/solution&gt;&lt;solution&gt;&lt;tongue&gt;en&lt;/tongue&gt;&lt;word&gt;lighthouse&lt;/word&gt;&lt;/solution&gt;&lt;/solutions&gt;</v>
      </c>
      <c r="C135" t="str">
        <f>IF(ISTEXT(Tabelle1[[#This Row],[Am.Englisch]]),"&lt;solutions&gt;&lt;solution&gt;&lt;tongue&gt;en-us&lt;/tongue&gt;&lt;word&gt;"&amp;SUBSTITUTE(Tabelle1[[#This Row],[Am.Englisch]],";","&lt;/word&gt;&lt;word&gt;")&amp;"&lt;/word&gt;&lt;/solution&gt;&lt;/solutions&gt;","")</f>
        <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2676</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&lt;solutions&gt;&lt;solution&gt;&lt;tongue&gt;de&lt;/tongue&gt;&lt;word&gt;Lippen&lt;/word&gt;&lt;/solution&gt;&lt;solution&gt;&lt;tongue&gt;en&lt;/tongue&gt;&lt;word&gt;lip&lt;/word&gt;&lt;/solution&gt;&lt;/solutions&gt;</v>
      </c>
      <c r="C136" t="str">
        <f>IF(ISTEXT(Tabelle1[[#This Row],[Am.Englisch]]),"&lt;solutions&gt;&lt;solution&gt;&lt;tongue&gt;en-us&lt;/tongue&gt;&lt;word&gt;"&amp;SUBSTITUTE(Tabelle1[[#This Row],[Am.Englisch]],";","&lt;/word&gt;&lt;word&gt;")&amp;"&lt;/word&gt;&lt;/solution&gt;&lt;/solutions&gt;","")</f>
        <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2677</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&lt;solutions&gt;&lt;solution&gt;&lt;tongue&gt;de&lt;/tongue&gt;&lt;word&gt;Liste&lt;/word&gt;&lt;/solution&gt;&lt;solution&gt;&lt;tongue&gt;en&lt;/tongue&gt;&lt;word&gt;list&lt;/word&gt;&lt;/solution&gt;&lt;/solutions&gt;</v>
      </c>
      <c r="C137" t="str">
        <f>IF(ISTEXT(Tabelle1[[#This Row],[Am.Englisch]]),"&lt;solutions&gt;&lt;solution&gt;&lt;tongue&gt;en-us&lt;/tongue&gt;&lt;word&gt;"&amp;SUBSTITUTE(Tabelle1[[#This Row],[Am.Englisch]],";","&lt;/word&gt;&lt;word&gt;")&amp;"&lt;/word&gt;&lt;/solution&gt;&lt;/solutions&gt;","")</f>
        <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2678</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&lt;solutions&gt;&lt;solution&gt;&lt;tongue&gt;de&lt;/tongue&gt;&lt;word&gt;Lorbeeren&lt;/word&gt;&lt;/solution&gt;&lt;solution&gt;&lt;tongue&gt;en&lt;/tongue&gt;&lt;word&gt;laurel&lt;/word&gt;&lt;/solution&gt;&lt;/solutions&gt;</v>
      </c>
      <c r="C138" t="str">
        <f>IF(ISTEXT(Tabelle1[[#This Row],[Am.Englisch]]),"&lt;solutions&gt;&lt;solution&gt;&lt;tongue&gt;en-us&lt;/tongue&gt;&lt;word&gt;"&amp;SUBSTITUTE(Tabelle1[[#This Row],[Am.Englisch]],";","&lt;/word&gt;&lt;word&gt;")&amp;"&lt;/word&gt;&lt;/solution&gt;&lt;/solutions&gt;","")</f>
        <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2679</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&lt;solutions&gt;&lt;solution&gt;&lt;tongue&gt;de&lt;/tongue&gt;&lt;word&gt;Lupe&lt;/word&gt;&lt;/solution&gt;&lt;solution&gt;&lt;tongue&gt;en&lt;/tongue&gt;&lt;word&gt;loupe&lt;/word&gt;&lt;/solution&gt;&lt;/solutions&gt;</v>
      </c>
      <c r="C139" t="str">
        <f>IF(ISTEXT(Tabelle1[[#This Row],[Am.Englisch]]),"&lt;solutions&gt;&lt;solution&gt;&lt;tongue&gt;en-us&lt;/tongue&gt;&lt;word&gt;"&amp;SUBSTITUTE(Tabelle1[[#This Row],[Am.Englisch]],";","&lt;/word&gt;&lt;word&gt;")&amp;"&lt;/word&gt;&lt;/solution&gt;&lt;/solutions&gt;","")</f>
        <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2680</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&lt;solutions&gt;&lt;solution&gt;&lt;tongue&gt;de&lt;/tongue&gt;&lt;word&gt;Magnet&lt;/word&gt;&lt;/solution&gt;&lt;solution&gt;&lt;tongue&gt;en&lt;/tongue&gt;&lt;word&gt;magnet&lt;/word&gt;&lt;/solution&gt;&lt;/solutions&gt;</v>
      </c>
      <c r="C140" t="str">
        <f>IF(ISTEXT(Tabelle1[[#This Row],[Am.Englisch]]),"&lt;solutions&gt;&lt;solution&gt;&lt;tongue&gt;en-us&lt;/tongue&gt;&lt;word&gt;"&amp;SUBSTITUTE(Tabelle1[[#This Row],[Am.Englisch]],";","&lt;/word&gt;&lt;word&gt;")&amp;"&lt;/word&gt;&lt;/solution&gt;&lt;/solutions&gt;","")</f>
        <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2681</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&lt;solutions&gt;&lt;solution&gt;&lt;tongue&gt;de&lt;/tongue&gt;&lt;word&gt;Maiskolben&lt;/word&gt;&lt;/solution&gt;&lt;solution&gt;&lt;tongue&gt;en&lt;/tongue&gt;&lt;word&gt;corncob&lt;/word&gt;&lt;/solution&gt;&lt;/solutions&gt;</v>
      </c>
      <c r="C141" t="str">
        <f>IF(ISTEXT(Tabelle1[[#This Row],[Am.Englisch]]),"&lt;solutions&gt;&lt;solution&gt;&lt;tongue&gt;en-us&lt;/tongue&gt;&lt;word&gt;"&amp;SUBSTITUTE(Tabelle1[[#This Row],[Am.Englisch]],";","&lt;/word&gt;&lt;word&gt;")&amp;"&lt;/word&gt;&lt;/solution&gt;&lt;/solutions&gt;","")</f>
        <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2682</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&lt;solutions&gt;&lt;solution&gt;&lt;tongue&gt;de&lt;/tongue&gt;&lt;word&gt;Mathematik&lt;/word&gt;&lt;/solution&gt;&lt;solution&gt;&lt;tongue&gt;en&lt;/tongue&gt;&lt;word&gt;maths&lt;/word&gt;&lt;/solution&gt;&lt;/solutions&gt;</v>
      </c>
      <c r="C142" t="str">
        <f>IF(ISTEXT(Tabelle1[[#This Row],[Am.Englisch]]),"&lt;solutions&gt;&lt;solution&gt;&lt;tongue&gt;en-us&lt;/tongue&gt;&lt;word&gt;"&amp;SUBSTITUTE(Tabelle1[[#This Row],[Am.Englisch]],";","&lt;/word&gt;&lt;word&gt;")&amp;"&lt;/word&gt;&lt;/solution&gt;&lt;/solutions&gt;","")</f>
        <v>&lt;solutions&gt;&lt;solution&gt;&lt;tongue&gt;en-us&lt;/tongue&gt;&lt;word&gt;math&lt;/word&gt;&lt;/solution&gt;&lt;/solutions&gt;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s&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2683</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&lt;solutions&gt;&lt;solution&gt;&lt;tongue&gt;de&lt;/tongue&gt;&lt;word&gt;Maus&lt;/word&gt;&lt;/solution&gt;&lt;solution&gt;&lt;tongue&gt;en&lt;/tongue&gt;&lt;word&gt;mouse&lt;/word&gt;&lt;/solution&gt;&lt;/solutions&gt;</v>
      </c>
      <c r="C143" t="str">
        <f>IF(ISTEXT(Tabelle1[[#This Row],[Am.Englisch]]),"&lt;solutions&gt;&lt;solution&gt;&lt;tongue&gt;en-us&lt;/tongue&gt;&lt;word&gt;"&amp;SUBSTITUTE(Tabelle1[[#This Row],[Am.Englisch]],";","&lt;/word&gt;&lt;word&gt;")&amp;"&lt;/word&gt;&lt;/solution&gt;&lt;/solutions&gt;","")</f>
        <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2684</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&lt;solutions&gt;&lt;solution&gt;&lt;tongue&gt;de&lt;/tongue&gt;&lt;word&gt;Meer&lt;/word&gt;&lt;/solution&gt;&lt;solution&gt;&lt;tongue&gt;en&lt;/tongue&gt;&lt;word&gt;sea&lt;/word&gt;&lt;/solution&gt;&lt;/solutions&gt;</v>
      </c>
      <c r="C144" t="str">
        <f>IF(ISTEXT(Tabelle1[[#This Row],[Am.Englisch]]),"&lt;solutions&gt;&lt;solution&gt;&lt;tongue&gt;en-us&lt;/tongue&gt;&lt;word&gt;"&amp;SUBSTITUTE(Tabelle1[[#This Row],[Am.Englisch]],";","&lt;/word&gt;&lt;word&gt;")&amp;"&lt;/word&gt;&lt;/solution&gt;&lt;/solutions&gt;","")</f>
        <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2685</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&lt;solutions&gt;&lt;solution&gt;&lt;tongue&gt;de&lt;/tongue&gt;&lt;word&gt;Menschen&lt;/word&gt;&lt;word&gt;Gruppe&lt;/word&gt;&lt;/solution&gt;&lt;solution&gt;&lt;tongue&gt;en&lt;/tongue&gt;&lt;word&gt;people&lt;/word&gt;&lt;/solution&gt;&lt;/solutions&gt;</v>
      </c>
      <c r="C145" t="str">
        <f>IF(ISTEXT(Tabelle1[[#This Row],[Am.Englisch]]),"&lt;solutions&gt;&lt;solution&gt;&lt;tongue&gt;en-us&lt;/tongue&gt;&lt;word&gt;"&amp;SUBSTITUTE(Tabelle1[[#This Row],[Am.Englisch]],";","&lt;/word&gt;&lt;word&gt;")&amp;"&lt;/word&gt;&lt;/solution&gt;&lt;/solutions&gt;","")</f>
        <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2686</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&lt;solutions&gt;&lt;solution&gt;&lt;tongue&gt;de&lt;/tongue&gt;&lt;word&gt;Modell&lt;/word&gt;&lt;/solution&gt;&lt;solution&gt;&lt;tongue&gt;en&lt;/tongue&gt;&lt;word&gt;model&lt;/word&gt;&lt;/solution&gt;&lt;/solutions&gt;</v>
      </c>
      <c r="C146" t="str">
        <f>IF(ISTEXT(Tabelle1[[#This Row],[Am.Englisch]]),"&lt;solutions&gt;&lt;solution&gt;&lt;tongue&gt;en-us&lt;/tongue&gt;&lt;word&gt;"&amp;SUBSTITUTE(Tabelle1[[#This Row],[Am.Englisch]],";","&lt;/word&gt;&lt;word&gt;")&amp;"&lt;/word&gt;&lt;/solution&gt;&lt;/solutions&gt;","")</f>
        <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2687</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&lt;solutions&gt;&lt;solution&gt;&lt;tongue&gt;de&lt;/tongue&gt;&lt;word&gt;Monat&lt;/word&gt;&lt;/solution&gt;&lt;solution&gt;&lt;tongue&gt;en&lt;/tongue&gt;&lt;word&gt;month&lt;/word&gt;&lt;/solution&gt;&lt;/solutions&gt;</v>
      </c>
      <c r="C147" t="str">
        <f>IF(ISTEXT(Tabelle1[[#This Row],[Am.Englisch]]),"&lt;solutions&gt;&lt;solution&gt;&lt;tongue&gt;en-us&lt;/tongue&gt;&lt;word&gt;"&amp;SUBSTITUTE(Tabelle1[[#This Row],[Am.Englisch]],";","&lt;/word&gt;&lt;word&gt;")&amp;"&lt;/word&gt;&lt;/solution&gt;&lt;/solutions&gt;","")</f>
        <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2688</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&lt;solutions&gt;&lt;solution&gt;&lt;tongue&gt;de&lt;/tongue&gt;&lt;word&gt;Mond&lt;/word&gt;&lt;/solution&gt;&lt;solution&gt;&lt;tongue&gt;en&lt;/tongue&gt;&lt;word&gt;moon&lt;/word&gt;&lt;/solution&gt;&lt;/solutions&gt;</v>
      </c>
      <c r="C148" t="str">
        <f>IF(ISTEXT(Tabelle1[[#This Row],[Am.Englisch]]),"&lt;solutions&gt;&lt;solution&gt;&lt;tongue&gt;en-us&lt;/tongue&gt;&lt;word&gt;"&amp;SUBSTITUTE(Tabelle1[[#This Row],[Am.Englisch]],";","&lt;/word&gt;&lt;word&gt;")&amp;"&lt;/word&gt;&lt;/solution&gt;&lt;/solutions&gt;","")</f>
        <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2689</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&lt;solutions&gt;&lt;solution&gt;&lt;tongue&gt;de&lt;/tongue&gt;&lt;word&gt;Monster&lt;/word&gt;&lt;word&gt;Ungeheuer&lt;/word&gt;&lt;/solution&gt;&lt;solution&gt;&lt;tongue&gt;en&lt;/tongue&gt;&lt;word&gt;monster&lt;/word&gt;&lt;/solution&gt;&lt;/solutions&gt;</v>
      </c>
      <c r="C149" t="str">
        <f>IF(ISTEXT(Tabelle1[[#This Row],[Am.Englisch]]),"&lt;solutions&gt;&lt;solution&gt;&lt;tongue&gt;en-us&lt;/tongue&gt;&lt;word&gt;"&amp;SUBSTITUTE(Tabelle1[[#This Row],[Am.Englisch]],";","&lt;/word&gt;&lt;word&gt;")&amp;"&lt;/word&gt;&lt;/solution&gt;&lt;/solutions&gt;","")</f>
        <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2690</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&lt;solutions&gt;&lt;solution&gt;&lt;tongue&gt;de&lt;/tongue&gt;&lt;word&gt;Musik&lt;/word&gt;&lt;/solution&gt;&lt;solution&gt;&lt;tongue&gt;en&lt;/tongue&gt;&lt;word&gt;music&lt;/word&gt;&lt;/solution&gt;&lt;/solutions&gt;</v>
      </c>
      <c r="C150" t="str">
        <f>IF(ISTEXT(Tabelle1[[#This Row],[Am.Englisch]]),"&lt;solutions&gt;&lt;solution&gt;&lt;tongue&gt;en-us&lt;/tongue&gt;&lt;word&gt;"&amp;SUBSTITUTE(Tabelle1[[#This Row],[Am.Englisch]],";","&lt;/word&gt;&lt;word&gt;")&amp;"&lt;/word&gt;&lt;/solution&gt;&lt;/solutions&gt;","")</f>
        <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2691</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&lt;solutions&gt;&lt;solution&gt;&lt;tongue&gt;de&lt;/tongue&gt;&lt;word&gt;Nashorn&lt;/word&gt;&lt;/solution&gt;&lt;solution&gt;&lt;tongue&gt;en&lt;/tongue&gt;&lt;word&gt;rhino&lt;/word&gt;&lt;/solution&gt;&lt;/solutions&gt;</v>
      </c>
      <c r="C151" t="str">
        <f>IF(ISTEXT(Tabelle1[[#This Row],[Am.Englisch]]),"&lt;solutions&gt;&lt;solution&gt;&lt;tongue&gt;en-us&lt;/tongue&gt;&lt;word&gt;"&amp;SUBSTITUTE(Tabelle1[[#This Row],[Am.Englisch]],";","&lt;/word&gt;&lt;word&gt;")&amp;"&lt;/word&gt;&lt;/solution&gt;&lt;/solutions&gt;","")</f>
        <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2692</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&lt;solutions&gt;&lt;solution&gt;&lt;tongue&gt;de&lt;/tongue&gt;&lt;word&gt;Nikolaus&lt;/word&gt;&lt;/solution&gt;&lt;solution&gt;&lt;tongue&gt;en&lt;/tongue&gt;&lt;word&gt;santa&lt;/word&gt;&lt;/solution&gt;&lt;/solutions&gt;</v>
      </c>
      <c r="C152" t="str">
        <f>IF(ISTEXT(Tabelle1[[#This Row],[Am.Englisch]]),"&lt;solutions&gt;&lt;solution&gt;&lt;tongue&gt;en-us&lt;/tongue&gt;&lt;word&gt;"&amp;SUBSTITUTE(Tabelle1[[#This Row],[Am.Englisch]],";","&lt;/word&gt;&lt;word&gt;")&amp;"&lt;/word&gt;&lt;/solution&gt;&lt;/solutions&gt;","")</f>
        <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2693</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&lt;solutions&gt;&lt;solution&gt;&lt;tongue&gt;de&lt;/tongue&gt;&lt;word&gt;Notausgang&lt;/word&gt;&lt;/solution&gt;&lt;solution&gt;&lt;tongue&gt;en&lt;/tongue&gt;&lt;word&gt;emergencyexit&lt;/word&gt;&lt;/solution&gt;&lt;/solutions&gt;</v>
      </c>
      <c r="C153" t="str">
        <f>IF(ISTEXT(Tabelle1[[#This Row],[Am.Englisch]]),"&lt;solutions&gt;&lt;solution&gt;&lt;tongue&gt;en-us&lt;/tongue&gt;&lt;word&gt;"&amp;SUBSTITUTE(Tabelle1[[#This Row],[Am.Englisch]],";","&lt;/word&gt;&lt;word&gt;")&amp;"&lt;/word&gt;&lt;/solution&gt;&lt;/solutions&gt;","")</f>
        <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2694</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&lt;solutions&gt;&lt;solution&gt;&lt;tongue&gt;de&lt;/tongue&gt;&lt;word&gt;Noten&lt;/word&gt;&lt;/solution&gt;&lt;solution&gt;&lt;tongue&gt;en&lt;/tongue&gt;&lt;word&gt;note&lt;/word&gt;&lt;/solution&gt;&lt;/solutions&gt;</v>
      </c>
      <c r="C154" t="str">
        <f>IF(ISTEXT(Tabelle1[[#This Row],[Am.Englisch]]),"&lt;solutions&gt;&lt;solution&gt;&lt;tongue&gt;en-us&lt;/tongue&gt;&lt;word&gt;"&amp;SUBSTITUTE(Tabelle1[[#This Row],[Am.Englisch]],";","&lt;/word&gt;&lt;word&gt;")&amp;"&lt;/word&gt;&lt;/solution&gt;&lt;/solutions&gt;","")</f>
        <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2695</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&lt;solutions&gt;&lt;solution&gt;&lt;tongue&gt;de&lt;/tongue&gt;&lt;word&gt;Olympia&lt;/word&gt;&lt;/solution&gt;&lt;solution&gt;&lt;tongue&gt;en&lt;/tongue&gt;&lt;word&gt;olympia&lt;/word&gt;&lt;/solution&gt;&lt;/solutions&gt;</v>
      </c>
      <c r="C155" t="str">
        <f>IF(ISTEXT(Tabelle1[[#This Row],[Am.Englisch]]),"&lt;solutions&gt;&lt;solution&gt;&lt;tongue&gt;en-us&lt;/tongue&gt;&lt;word&gt;"&amp;SUBSTITUTE(Tabelle1[[#This Row],[Am.Englisch]],";","&lt;/word&gt;&lt;word&gt;")&amp;"&lt;/word&gt;&lt;/solution&gt;&lt;/solutions&gt;","")</f>
        <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2696</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&lt;solutions&gt;&lt;solution&gt;&lt;tongue&gt;de&lt;/tongue&gt;&lt;word&gt;Ordner&lt;/word&gt;&lt;/solution&gt;&lt;solution&gt;&lt;tongue&gt;en&lt;/tongue&gt;&lt;word&gt;folder&lt;/word&gt;&lt;/solution&gt;&lt;/solutions&gt;</v>
      </c>
      <c r="C156" t="str">
        <f>IF(ISTEXT(Tabelle1[[#This Row],[Am.Englisch]]),"&lt;solutions&gt;&lt;solution&gt;&lt;tongue&gt;en-us&lt;/tongue&gt;&lt;word&gt;"&amp;SUBSTITUTE(Tabelle1[[#This Row],[Am.Englisch]],";","&lt;/word&gt;&lt;word&gt;")&amp;"&lt;/word&gt;&lt;/solution&gt;&lt;/solutions&gt;","")</f>
        <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2697</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&lt;solutions&gt;&lt;solution&gt;&lt;tongue&gt;de&lt;/tongue&gt;&lt;word&gt;Paar&lt;/word&gt;&lt;/solution&gt;&lt;solution&gt;&lt;tongue&gt;en&lt;/tongue&gt;&lt;word&gt;couple&lt;/word&gt;&lt;/solution&gt;&lt;/solutions&gt;</v>
      </c>
      <c r="C157" t="str">
        <f>IF(ISTEXT(Tabelle1[[#This Row],[Am.Englisch]]),"&lt;solutions&gt;&lt;solution&gt;&lt;tongue&gt;en-us&lt;/tongue&gt;&lt;word&gt;"&amp;SUBSTITUTE(Tabelle1[[#This Row],[Am.Englisch]],";","&lt;/word&gt;&lt;word&gt;")&amp;"&lt;/word&gt;&lt;/solution&gt;&lt;/solutions&gt;","")</f>
        <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2698</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&lt;solutions&gt;&lt;solution&gt;&lt;tongue&gt;de&lt;/tongue&gt;&lt;word&gt;Palme&lt;/word&gt;&lt;/solution&gt;&lt;solution&gt;&lt;tongue&gt;en&lt;/tongue&gt;&lt;word&gt;palm&lt;/word&gt;&lt;/solution&gt;&lt;/solutions&gt;</v>
      </c>
      <c r="C158" t="str">
        <f>IF(ISTEXT(Tabelle1[[#This Row],[Am.Englisch]]),"&lt;solutions&gt;&lt;solution&gt;&lt;tongue&gt;en-us&lt;/tongue&gt;&lt;word&gt;"&amp;SUBSTITUTE(Tabelle1[[#This Row],[Am.Englisch]],";","&lt;/word&gt;&lt;word&gt;")&amp;"&lt;/word&gt;&lt;/solution&gt;&lt;/solutions&gt;","")</f>
        <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2699</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&lt;solutions&gt;&lt;solution&gt;&lt;tongue&gt;de&lt;/tongue&gt;&lt;word&gt;Panda&lt;/word&gt;&lt;/solution&gt;&lt;solution&gt;&lt;tongue&gt;en&lt;/tongue&gt;&lt;word&gt;panda&lt;/word&gt;&lt;/solution&gt;&lt;/solutions&gt;</v>
      </c>
      <c r="C159" t="str">
        <f>IF(ISTEXT(Tabelle1[[#This Row],[Am.Englisch]]),"&lt;solutions&gt;&lt;solution&gt;&lt;tongue&gt;en-us&lt;/tongue&gt;&lt;word&gt;"&amp;SUBSTITUTE(Tabelle1[[#This Row],[Am.Englisch]],";","&lt;/word&gt;&lt;word&gt;")&amp;"&lt;/word&gt;&lt;/solution&gt;&lt;/solutions&gt;","")</f>
        <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2700</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&lt;solutions&gt;&lt;solution&gt;&lt;tongue&gt;de&lt;/tongue&gt;&lt;word&gt;Papagei&lt;/word&gt;&lt;/solution&gt;&lt;solution&gt;&lt;tongue&gt;en&lt;/tongue&gt;&lt;word&gt;parrot&lt;/word&gt;&lt;/solution&gt;&lt;/solutions&gt;</v>
      </c>
      <c r="C160" t="str">
        <f>IF(ISTEXT(Tabelle1[[#This Row],[Am.Englisch]]),"&lt;solutions&gt;&lt;solution&gt;&lt;tongue&gt;en-us&lt;/tongue&gt;&lt;word&gt;"&amp;SUBSTITUTE(Tabelle1[[#This Row],[Am.Englisch]],";","&lt;/word&gt;&lt;word&gt;")&amp;"&lt;/word&gt;&lt;/solution&gt;&lt;/solutions&gt;","")</f>
        <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2701</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&lt;solutions&gt;&lt;solution&gt;&lt;tongue&gt;de&lt;/tongue&gt;&lt;word&gt;Pfeile&lt;/word&gt;&lt;/solution&gt;&lt;solution&gt;&lt;tongue&gt;en&lt;/tongue&gt;&lt;word&gt;arrows&lt;/word&gt;&lt;/solution&gt;&lt;/solutions&gt;</v>
      </c>
      <c r="C161" t="str">
        <f>IF(ISTEXT(Tabelle1[[#This Row],[Am.Englisch]]),"&lt;solutions&gt;&lt;solution&gt;&lt;tongue&gt;en-us&lt;/tongue&gt;&lt;word&gt;"&amp;SUBSTITUTE(Tabelle1[[#This Row],[Am.Englisch]],";","&lt;/word&gt;&lt;word&gt;")&amp;"&lt;/word&gt;&lt;/solution&gt;&lt;/solutions&gt;","")</f>
        <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2702</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&lt;solutions&gt;&lt;solution&gt;&lt;tongue&gt;de&lt;/tongue&gt;&lt;word&gt;Pfote&lt;/word&gt;&lt;/solution&gt;&lt;solution&gt;&lt;tongue&gt;en&lt;/tongue&gt;&lt;word&gt;paw&lt;/word&gt;&lt;/solution&gt;&lt;/solutions&gt;</v>
      </c>
      <c r="C162" t="str">
        <f>IF(ISTEXT(Tabelle1[[#This Row],[Am.Englisch]]),"&lt;solutions&gt;&lt;solution&gt;&lt;tongue&gt;en-us&lt;/tongue&gt;&lt;word&gt;"&amp;SUBSTITUTE(Tabelle1[[#This Row],[Am.Englisch]],";","&lt;/word&gt;&lt;word&gt;")&amp;"&lt;/word&gt;&lt;/solution&gt;&lt;/solutions&gt;","")</f>
        <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2703</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&lt;solutions&gt;&lt;solution&gt;&lt;tongue&gt;de&lt;/tongue&gt;&lt;word&gt;Phönix&lt;/word&gt;&lt;/solution&gt;&lt;solution&gt;&lt;tongue&gt;en&lt;/tongue&gt;&lt;word&gt;phoenix&lt;/word&gt;&lt;/solution&gt;&lt;/solutions&gt;</v>
      </c>
      <c r="C163" t="str">
        <f>IF(ISTEXT(Tabelle1[[#This Row],[Am.Englisch]]),"&lt;solutions&gt;&lt;solution&gt;&lt;tongue&gt;en-us&lt;/tongue&gt;&lt;word&gt;"&amp;SUBSTITUTE(Tabelle1[[#This Row],[Am.Englisch]],";","&lt;/word&gt;&lt;word&gt;")&amp;"&lt;/word&gt;&lt;/solution&gt;&lt;/solutions&gt;","")</f>
        <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2704</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&lt;solutions&gt;&lt;solution&gt;&lt;tongue&gt;de&lt;/tongue&gt;&lt;word&gt;Pik&lt;/word&gt;&lt;/solution&gt;&lt;solution&gt;&lt;tongue&gt;en&lt;/tongue&gt;&lt;word&gt;peak&lt;/word&gt;&lt;/solution&gt;&lt;/solutions&gt;</v>
      </c>
      <c r="C164" t="str">
        <f>IF(ISTEXT(Tabelle1[[#This Row],[Am.Englisch]]),"&lt;solutions&gt;&lt;solution&gt;&lt;tongue&gt;en-us&lt;/tongue&gt;&lt;word&gt;"&amp;SUBSTITUTE(Tabelle1[[#This Row],[Am.Englisch]],";","&lt;/word&gt;&lt;word&gt;")&amp;"&lt;/word&gt;&lt;/solution&gt;&lt;/solutions&gt;","")</f>
        <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2705</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&lt;solutions&gt;&lt;solution&gt;&lt;tongue&gt;de&lt;/tongue&gt;&lt;word&gt;Pinguin&lt;/word&gt;&lt;/solution&gt;&lt;solution&gt;&lt;tongue&gt;en&lt;/tongue&gt;&lt;word&gt;penguin&lt;/word&gt;&lt;/solution&gt;&lt;/solutions&gt;</v>
      </c>
      <c r="C165" t="str">
        <f>IF(ISTEXT(Tabelle1[[#This Row],[Am.Englisch]]),"&lt;solutions&gt;&lt;solution&gt;&lt;tongue&gt;en-us&lt;/tongue&gt;&lt;word&gt;"&amp;SUBSTITUTE(Tabelle1[[#This Row],[Am.Englisch]],";","&lt;/word&gt;&lt;word&gt;")&amp;"&lt;/word&gt;&lt;/solution&gt;&lt;/solutions&gt;","")</f>
        <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2706</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&lt;solutions&gt;&lt;solution&gt;&lt;tongue&gt;de&lt;/tongue&gt;&lt;word&gt;Pinsel&lt;/word&gt;&lt;/solution&gt;&lt;solution&gt;&lt;tongue&gt;en&lt;/tongue&gt;&lt;word&gt;paintbrush&lt;/word&gt;&lt;/solution&gt;&lt;/solutions&gt;</v>
      </c>
      <c r="C166" t="str">
        <f>IF(ISTEXT(Tabelle1[[#This Row],[Am.Englisch]]),"&lt;solutions&gt;&lt;solution&gt;&lt;tongue&gt;en-us&lt;/tongue&gt;&lt;word&gt;"&amp;SUBSTITUTE(Tabelle1[[#This Row],[Am.Englisch]],";","&lt;/word&gt;&lt;word&gt;")&amp;"&lt;/word&gt;&lt;/solution&gt;&lt;/solutions&gt;","")</f>
        <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2707</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&lt;solutions&gt;&lt;solution&gt;&lt;tongue&gt;de&lt;/tongue&gt;&lt;word&gt;Pirat&lt;/word&gt;&lt;/solution&gt;&lt;solution&gt;&lt;tongue&gt;en&lt;/tongue&gt;&lt;word&gt;pirate&lt;/word&gt;&lt;/solution&gt;&lt;/solutions&gt;</v>
      </c>
      <c r="C167" t="str">
        <f>IF(ISTEXT(Tabelle1[[#This Row],[Am.Englisch]]),"&lt;solutions&gt;&lt;solution&gt;&lt;tongue&gt;en-us&lt;/tongue&gt;&lt;word&gt;"&amp;SUBSTITUTE(Tabelle1[[#This Row],[Am.Englisch]],";","&lt;/word&gt;&lt;word&gt;")&amp;"&lt;/word&gt;&lt;/solution&gt;&lt;/solutions&gt;","")</f>
        <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2708</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&lt;solutions&gt;&lt;solution&gt;&lt;tongue&gt;de&lt;/tongue&gt;&lt;word&gt;Pizza&lt;/word&gt;&lt;/solution&gt;&lt;solution&gt;&lt;tongue&gt;en&lt;/tongue&gt;&lt;word&gt;pizza&lt;/word&gt;&lt;/solution&gt;&lt;/solutions&gt;</v>
      </c>
      <c r="C168" t="str">
        <f>IF(ISTEXT(Tabelle1[[#This Row],[Am.Englisch]]),"&lt;solutions&gt;&lt;solution&gt;&lt;tongue&gt;en-us&lt;/tongue&gt;&lt;word&gt;"&amp;SUBSTITUTE(Tabelle1[[#This Row],[Am.Englisch]],";","&lt;/word&gt;&lt;word&gt;")&amp;"&lt;/word&gt;&lt;/solution&gt;&lt;/solutions&gt;","")</f>
        <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2709</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&lt;solutions&gt;&lt;solution&gt;&lt;tongue&gt;de&lt;/tongue&gt;&lt;word&gt;Planet&lt;/word&gt;&lt;/solution&gt;&lt;solution&gt;&lt;tongue&gt;en&lt;/tongue&gt;&lt;word&gt;planet&lt;/word&gt;&lt;/solution&gt;&lt;/solutions&gt;</v>
      </c>
      <c r="C169" t="str">
        <f>IF(ISTEXT(Tabelle1[[#This Row],[Am.Englisch]]),"&lt;solutions&gt;&lt;solution&gt;&lt;tongue&gt;en-us&lt;/tongue&gt;&lt;word&gt;"&amp;SUBSTITUTE(Tabelle1[[#This Row],[Am.Englisch]],";","&lt;/word&gt;&lt;word&gt;")&amp;"&lt;/word&gt;&lt;/solution&gt;&lt;/solutions&gt;","")</f>
        <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2710</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&lt;solutions&gt;&lt;solution&gt;&lt;tongue&gt;de&lt;/tongue&gt;&lt;word&gt;Plus&lt;/word&gt;&lt;/solution&gt;&lt;solution&gt;&lt;tongue&gt;en&lt;/tongue&gt;&lt;word&gt;plus&lt;/word&gt;&lt;/solution&gt;&lt;/solutions&gt;</v>
      </c>
      <c r="C170" t="str">
        <f>IF(ISTEXT(Tabelle1[[#This Row],[Am.Englisch]]),"&lt;solutions&gt;&lt;solution&gt;&lt;tongue&gt;en-us&lt;/tongue&gt;&lt;word&gt;"&amp;SUBSTITUTE(Tabelle1[[#This Row],[Am.Englisch]],";","&lt;/word&gt;&lt;word&gt;")&amp;"&lt;/word&gt;&lt;/solution&gt;&lt;/solutions&gt;","")</f>
        <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2711</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&lt;solutions&gt;&lt;solution&gt;&lt;tongue&gt;de&lt;/tongue&gt;&lt;word&gt;Puzzle&lt;/word&gt;&lt;/solution&gt;&lt;solution&gt;&lt;tongue&gt;en&lt;/tongue&gt;&lt;word&gt;puzzle&lt;/word&gt;&lt;/solution&gt;&lt;/solutions&gt;</v>
      </c>
      <c r="C171" t="str">
        <f>IF(ISTEXT(Tabelle1[[#This Row],[Am.Englisch]]),"&lt;solutions&gt;&lt;solution&gt;&lt;tongue&gt;en-us&lt;/tongue&gt;&lt;word&gt;"&amp;SUBSTITUTE(Tabelle1[[#This Row],[Am.Englisch]],";","&lt;/word&gt;&lt;word&gt;")&amp;"&lt;/word&gt;&lt;/solution&gt;&lt;/solutions&gt;","")</f>
        <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2712</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&lt;solutions&gt;&lt;solution&gt;&lt;tongue&gt;de&lt;/tongue&gt;&lt;word&gt;Pyramide&lt;/word&gt;&lt;/solution&gt;&lt;solution&gt;&lt;tongue&gt;en&lt;/tongue&gt;&lt;word&gt;pyramid&lt;/word&gt;&lt;/solution&gt;&lt;/solutions&gt;</v>
      </c>
      <c r="C172" t="str">
        <f>IF(ISTEXT(Tabelle1[[#This Row],[Am.Englisch]]),"&lt;solutions&gt;&lt;solution&gt;&lt;tongue&gt;en-us&lt;/tongue&gt;&lt;word&gt;"&amp;SUBSTITUTE(Tabelle1[[#This Row],[Am.Englisch]],";","&lt;/word&gt;&lt;word&gt;")&amp;"&lt;/word&gt;&lt;/solution&gt;&lt;/solutions&gt;","")</f>
        <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2713</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&lt;solutions&gt;&lt;solution&gt;&lt;tongue&gt;de&lt;/tongue&gt;&lt;word&gt;Qualle&lt;/word&gt;&lt;/solution&gt;&lt;solution&gt;&lt;tongue&gt;en&lt;/tongue&gt;&lt;word&gt;jellyfish&lt;/word&gt;&lt;/solution&gt;&lt;/solutions&gt;</v>
      </c>
      <c r="C173" t="str">
        <f>IF(ISTEXT(Tabelle1[[#This Row],[Am.Englisch]]),"&lt;solutions&gt;&lt;solution&gt;&lt;tongue&gt;en-us&lt;/tongue&gt;&lt;word&gt;"&amp;SUBSTITUTE(Tabelle1[[#This Row],[Am.Englisch]],";","&lt;/word&gt;&lt;word&gt;")&amp;"&lt;/word&gt;&lt;/solution&gt;&lt;/solutions&gt;","")</f>
        <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2714</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&lt;solutions&gt;&lt;solution&gt;&lt;tongue&gt;de&lt;/tongue&gt;&lt;word&gt;Radioaktiv&lt;/word&gt;&lt;/solution&gt;&lt;solution&gt;&lt;tongue&gt;en&lt;/tongue&gt;&lt;word&gt;radioactive&lt;/word&gt;&lt;/solution&gt;&lt;/solutions&gt;</v>
      </c>
      <c r="C174" t="str">
        <f>IF(ISTEXT(Tabelle1[[#This Row],[Am.Englisch]]),"&lt;solutions&gt;&lt;solution&gt;&lt;tongue&gt;en-us&lt;/tongue&gt;&lt;word&gt;"&amp;SUBSTITUTE(Tabelle1[[#This Row],[Am.Englisch]],";","&lt;/word&gt;&lt;word&gt;")&amp;"&lt;/word&gt;&lt;/solution&gt;&lt;/solutions&gt;","")</f>
        <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2715</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&lt;solutions&gt;&lt;solution&gt;&lt;tongue&gt;de&lt;/tongue&gt;&lt;word&gt;rahmen&lt;/word&gt;&lt;/solution&gt;&lt;solution&gt;&lt;tongue&gt;en&lt;/tongue&gt;&lt;word&gt;frame&lt;/word&gt;&lt;/solution&gt;&lt;/solutions&gt;</v>
      </c>
      <c r="C175" t="str">
        <f>IF(ISTEXT(Tabelle1[[#This Row],[Am.Englisch]]),"&lt;solutions&gt;&lt;solution&gt;&lt;tongue&gt;en-us&lt;/tongue&gt;&lt;word&gt;"&amp;SUBSTITUTE(Tabelle1[[#This Row],[Am.Englisch]],";","&lt;/word&gt;&lt;word&gt;")&amp;"&lt;/word&gt;&lt;/solution&gt;&lt;/solutions&gt;","")</f>
        <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2716</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&lt;solutions&gt;&lt;solution&gt;&lt;tongue&gt;de&lt;/tongue&gt;&lt;word&gt;Rakete&lt;/word&gt;&lt;/solution&gt;&lt;solution&gt;&lt;tongue&gt;en&lt;/tongue&gt;&lt;word&gt;rocket&lt;/word&gt;&lt;/solution&gt;&lt;/solutions&gt;</v>
      </c>
      <c r="C176" t="str">
        <f>IF(ISTEXT(Tabelle1[[#This Row],[Am.Englisch]]),"&lt;solutions&gt;&lt;solution&gt;&lt;tongue&gt;en-us&lt;/tongue&gt;&lt;word&gt;"&amp;SUBSTITUTE(Tabelle1[[#This Row],[Am.Englisch]],";","&lt;/word&gt;&lt;word&gt;")&amp;"&lt;/word&gt;&lt;/solution&gt;&lt;/solutions&gt;","")</f>
        <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2717</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&lt;solutions&gt;&lt;solution&gt;&lt;tongue&gt;de&lt;/tongue&gt;&lt;word&gt;Recycle&lt;/word&gt;&lt;/solution&gt;&lt;solution&gt;&lt;tongue&gt;en&lt;/tongue&gt;&lt;word&gt;recycle&lt;/word&gt;&lt;/solution&gt;&lt;/solutions&gt;</v>
      </c>
      <c r="C177" t="str">
        <f>IF(ISTEXT(Tabelle1[[#This Row],[Am.Englisch]]),"&lt;solutions&gt;&lt;solution&gt;&lt;tongue&gt;en-us&lt;/tongue&gt;&lt;word&gt;"&amp;SUBSTITUTE(Tabelle1[[#This Row],[Am.Englisch]],";","&lt;/word&gt;&lt;word&gt;")&amp;"&lt;/word&gt;&lt;/solution&gt;&lt;/solutions&gt;","")</f>
        <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2718</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&lt;solutions&gt;&lt;solution&gt;&lt;tongue&gt;de&lt;/tongue&gt;&lt;word&gt;Regenbogen&lt;/word&gt;&lt;/solution&gt;&lt;solution&gt;&lt;tongue&gt;en&lt;/tongue&gt;&lt;word&gt;rainbow&lt;/word&gt;&lt;/solution&gt;&lt;/solutions&gt;</v>
      </c>
      <c r="C178" t="str">
        <f>IF(ISTEXT(Tabelle1[[#This Row],[Am.Englisch]]),"&lt;solutions&gt;&lt;solution&gt;&lt;tongue&gt;en-us&lt;/tongue&gt;&lt;word&gt;"&amp;SUBSTITUTE(Tabelle1[[#This Row],[Am.Englisch]],";","&lt;/word&gt;&lt;word&gt;")&amp;"&lt;/word&gt;&lt;/solution&gt;&lt;/solutions&gt;","")</f>
        <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2719</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&lt;solutions&gt;&lt;solution&gt;&lt;tongue&gt;de&lt;/tongue&gt;&lt;word&gt;Regenschirm&lt;/word&gt;&lt;/solution&gt;&lt;solution&gt;&lt;tongue&gt;en&lt;/tongue&gt;&lt;word&gt;umbrella&lt;/word&gt;&lt;/solution&gt;&lt;/solutions&gt;</v>
      </c>
      <c r="C179" t="str">
        <f>IF(ISTEXT(Tabelle1[[#This Row],[Am.Englisch]]),"&lt;solutions&gt;&lt;solution&gt;&lt;tongue&gt;en-us&lt;/tongue&gt;&lt;word&gt;"&amp;SUBSTITUTE(Tabelle1[[#This Row],[Am.Englisch]],";","&lt;/word&gt;&lt;word&gt;")&amp;"&lt;/word&gt;&lt;/solution&gt;&lt;/solutions&gt;","")</f>
        <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2720</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&lt;solutions&gt;&lt;solution&gt;&lt;tongue&gt;de&lt;/tongue&gt;&lt;word&gt;Rettungsring&lt;/word&gt;&lt;/solution&gt;&lt;solution&gt;&lt;tongue&gt;en&lt;/tongue&gt;&lt;word&gt;lifesaver&lt;/word&gt;&lt;/solution&gt;&lt;/solutions&gt;</v>
      </c>
      <c r="C180" t="str">
        <f>IF(ISTEXT(Tabelle1[[#This Row],[Am.Englisch]]),"&lt;solutions&gt;&lt;solution&gt;&lt;tongue&gt;en-us&lt;/tongue&gt;&lt;word&gt;"&amp;SUBSTITUTE(Tabelle1[[#This Row],[Am.Englisch]],";","&lt;/word&gt;&lt;word&gt;")&amp;"&lt;/word&gt;&lt;/solution&gt;&lt;/solutions&gt;","")</f>
        <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2721</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&lt;solutions&gt;&lt;solution&gt;&lt;tongue&gt;de&lt;/tongue&gt;&lt;word&gt;Ring&lt;/word&gt;&lt;word&gt;Kreis&lt;/word&gt;&lt;/solution&gt;&lt;solution&gt;&lt;tongue&gt;en&lt;/tongue&gt;&lt;word&gt;ring&lt;/word&gt;&lt;/solution&gt;&lt;/solutions&gt;</v>
      </c>
      <c r="C181" t="str">
        <f>IF(ISTEXT(Tabelle1[[#This Row],[Am.Englisch]]),"&lt;solutions&gt;&lt;solution&gt;&lt;tongue&gt;en-us&lt;/tongue&gt;&lt;word&gt;"&amp;SUBSTITUTE(Tabelle1[[#This Row],[Am.Englisch]],";","&lt;/word&gt;&lt;word&gt;")&amp;"&lt;/word&gt;&lt;/solution&gt;&lt;/solutions&gt;","")</f>
        <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2722</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&lt;solutions&gt;&lt;solution&gt;&lt;tongue&gt;de&lt;/tongue&gt;&lt;word&gt;Roboter&lt;/word&gt;&lt;/solution&gt;&lt;solution&gt;&lt;tongue&gt;en&lt;/tongue&gt;&lt;word&gt;robot&lt;/word&gt;&lt;/solution&gt;&lt;/solutions&gt;</v>
      </c>
      <c r="C182" t="str">
        <f>IF(ISTEXT(Tabelle1[[#This Row],[Am.Englisch]]),"&lt;solutions&gt;&lt;solution&gt;&lt;tongue&gt;en-us&lt;/tongue&gt;&lt;word&gt;"&amp;SUBSTITUTE(Tabelle1[[#This Row],[Am.Englisch]],";","&lt;/word&gt;&lt;word&gt;")&amp;"&lt;/word&gt;&lt;/solution&gt;&lt;/solutions&gt;","")</f>
        <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2723</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&lt;solutions&gt;&lt;solution&gt;&lt;tongue&gt;de&lt;/tongue&gt;&lt;word&gt;Rose&lt;/word&gt;&lt;/solution&gt;&lt;solution&gt;&lt;tongue&gt;en&lt;/tongue&gt;&lt;word&gt;rose&lt;/word&gt;&lt;/solution&gt;&lt;/solutions&gt;</v>
      </c>
      <c r="C183" t="str">
        <f>IF(ISTEXT(Tabelle1[[#This Row],[Am.Englisch]]),"&lt;solutions&gt;&lt;solution&gt;&lt;tongue&gt;en-us&lt;/tongue&gt;&lt;word&gt;"&amp;SUBSTITUTE(Tabelle1[[#This Row],[Am.Englisch]],";","&lt;/word&gt;&lt;word&gt;")&amp;"&lt;/word&gt;&lt;/solution&gt;&lt;/solutions&gt;","")</f>
        <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2724</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&lt;solutions&gt;&lt;solution&gt;&lt;tongue&gt;de&lt;/tongue&gt;&lt;word&gt;Satellit&lt;/word&gt;&lt;/solution&gt;&lt;solution&gt;&lt;tongue&gt;en&lt;/tongue&gt;&lt;word&gt;satellite&lt;/word&gt;&lt;/solution&gt;&lt;/solutions&gt;</v>
      </c>
      <c r="C184" t="str">
        <f>IF(ISTEXT(Tabelle1[[#This Row],[Am.Englisch]]),"&lt;solutions&gt;&lt;solution&gt;&lt;tongue&gt;en-us&lt;/tongue&gt;&lt;word&gt;"&amp;SUBSTITUTE(Tabelle1[[#This Row],[Am.Englisch]],";","&lt;/word&gt;&lt;word&gt;")&amp;"&lt;/word&gt;&lt;/solution&gt;&lt;/solutions&gt;","")</f>
        <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2725</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&lt;solutions&gt;&lt;solution&gt;&lt;tongue&gt;de&lt;/tongue&gt;&lt;word&gt;Schaf&lt;/word&gt;&lt;/solution&gt;&lt;solution&gt;&lt;tongue&gt;en&lt;/tongue&gt;&lt;word&gt;sheep&lt;/word&gt;&lt;/solution&gt;&lt;/solutions&gt;</v>
      </c>
      <c r="C185" t="str">
        <f>IF(ISTEXT(Tabelle1[[#This Row],[Am.Englisch]]),"&lt;solutions&gt;&lt;solution&gt;&lt;tongue&gt;en-us&lt;/tongue&gt;&lt;word&gt;"&amp;SUBSTITUTE(Tabelle1[[#This Row],[Am.Englisch]],";","&lt;/word&gt;&lt;word&gt;")&amp;"&lt;/word&gt;&lt;/solution&gt;&lt;/solutions&gt;","")</f>
        <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2726</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&lt;solutions&gt;&lt;solution&gt;&lt;tongue&gt;de&lt;/tongue&gt;&lt;word&gt;Schatten&lt;/word&gt;&lt;/solution&gt;&lt;solution&gt;&lt;tongue&gt;en&lt;/tongue&gt;&lt;word&gt;shadow&lt;/word&gt;&lt;/solution&gt;&lt;/solutions&gt;</v>
      </c>
      <c r="C186" t="str">
        <f>IF(ISTEXT(Tabelle1[[#This Row],[Am.Englisch]]),"&lt;solutions&gt;&lt;solution&gt;&lt;tongue&gt;en-us&lt;/tongue&gt;&lt;word&gt;"&amp;SUBSTITUTE(Tabelle1[[#This Row],[Am.Englisch]],";","&lt;/word&gt;&lt;word&gt;")&amp;"&lt;/word&gt;&lt;/solution&gt;&lt;/solutions&gt;","")</f>
        <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2727</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&lt;solutions&gt;&lt;solution&gt;&lt;tongue&gt;de&lt;/tongue&gt;&lt;word&gt;Schaufel&lt;/word&gt;&lt;/solution&gt;&lt;solution&gt;&lt;tongue&gt;en&lt;/tongue&gt;&lt;word&gt;shovel&lt;/word&gt;&lt;/solution&gt;&lt;/solutions&gt;</v>
      </c>
      <c r="C187" t="str">
        <f>IF(ISTEXT(Tabelle1[[#This Row],[Am.Englisch]]),"&lt;solutions&gt;&lt;solution&gt;&lt;tongue&gt;en-us&lt;/tongue&gt;&lt;word&gt;"&amp;SUBSTITUTE(Tabelle1[[#This Row],[Am.Englisch]],";","&lt;/word&gt;&lt;word&gt;")&amp;"&lt;/word&gt;&lt;/solution&gt;&lt;/solutions&gt;","")</f>
        <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2728</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&lt;solutions&gt;&lt;solution&gt;&lt;tongue&gt;de&lt;/tongue&gt;&lt;word&gt;Scheinwerfer&lt;/word&gt;&lt;/solution&gt;&lt;solution&gt;&lt;tongue&gt;en&lt;/tongue&gt;&lt;word&gt;spotlight&lt;/word&gt;&lt;/solution&gt;&lt;/solutions&gt;</v>
      </c>
      <c r="C188" t="str">
        <f>IF(ISTEXT(Tabelle1[[#This Row],[Am.Englisch]]),"&lt;solutions&gt;&lt;solution&gt;&lt;tongue&gt;en-us&lt;/tongue&gt;&lt;word&gt;"&amp;SUBSTITUTE(Tabelle1[[#This Row],[Am.Englisch]],";","&lt;/word&gt;&lt;word&gt;")&amp;"&lt;/word&gt;&lt;/solution&gt;&lt;/solutions&gt;","")</f>
        <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2729</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&lt;solutions&gt;&lt;solution&gt;&lt;tongue&gt;de&lt;/tongue&gt;&lt;word&gt;Schere&lt;/word&gt;&lt;/solution&gt;&lt;solution&gt;&lt;tongue&gt;en&lt;/tongue&gt;&lt;word&gt;scissor&lt;/word&gt;&lt;/solution&gt;&lt;/solutions&gt;</v>
      </c>
      <c r="C189" t="str">
        <f>IF(ISTEXT(Tabelle1[[#This Row],[Am.Englisch]]),"&lt;solutions&gt;&lt;solution&gt;&lt;tongue&gt;en-us&lt;/tongue&gt;&lt;word&gt;"&amp;SUBSTITUTE(Tabelle1[[#This Row],[Am.Englisch]],";","&lt;/word&gt;&lt;word&gt;")&amp;"&lt;/word&gt;&lt;/solution&gt;&lt;/solutions&gt;","")</f>
        <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2730</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&lt;solutions&gt;&lt;solution&gt;&lt;tongue&gt;de&lt;/tongue&gt;&lt;word&gt;Schienen&lt;/word&gt;&lt;/solution&gt;&lt;solution&gt;&lt;tongue&gt;en&lt;/tongue&gt;&lt;word&gt;rails&lt;/word&gt;&lt;/solution&gt;&lt;/solutions&gt;</v>
      </c>
      <c r="C190" t="str">
        <f>IF(ISTEXT(Tabelle1[[#This Row],[Am.Englisch]]),"&lt;solutions&gt;&lt;solution&gt;&lt;tongue&gt;en-us&lt;/tongue&gt;&lt;word&gt;"&amp;SUBSTITUTE(Tabelle1[[#This Row],[Am.Englisch]],";","&lt;/word&gt;&lt;word&gt;")&amp;"&lt;/word&gt;&lt;/solution&gt;&lt;/solutions&gt;","")</f>
        <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2731</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&lt;solutions&gt;&lt;solution&gt;&lt;tongue&gt;de&lt;/tongue&gt;&lt;word&gt;Schiff&lt;/word&gt;&lt;/solution&gt;&lt;solution&gt;&lt;tongue&gt;en&lt;/tongue&gt;&lt;word&gt;ship&lt;/word&gt;&lt;/solution&gt;&lt;/solutions&gt;</v>
      </c>
      <c r="C191" t="str">
        <f>IF(ISTEXT(Tabelle1[[#This Row],[Am.Englisch]]),"&lt;solutions&gt;&lt;solution&gt;&lt;tongue&gt;en-us&lt;/tongue&gt;&lt;word&gt;"&amp;SUBSTITUTE(Tabelle1[[#This Row],[Am.Englisch]],";","&lt;/word&gt;&lt;word&gt;")&amp;"&lt;/word&gt;&lt;/solution&gt;&lt;/solutions&gt;","")</f>
        <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2732</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&lt;solutions&gt;&lt;solution&gt;&lt;tongue&gt;de&lt;/tongue&gt;&lt;word&gt;Schild&lt;/word&gt;&lt;/solution&gt;&lt;solution&gt;&lt;tongue&gt;en&lt;/tongue&gt;&lt;word&gt;shield&lt;/word&gt;&lt;/solution&gt;&lt;/solutions&gt;</v>
      </c>
      <c r="C192" t="str">
        <f>IF(ISTEXT(Tabelle1[[#This Row],[Am.Englisch]]),"&lt;solutions&gt;&lt;solution&gt;&lt;tongue&gt;en-us&lt;/tongue&gt;&lt;word&gt;"&amp;SUBSTITUTE(Tabelle1[[#This Row],[Am.Englisch]],";","&lt;/word&gt;&lt;word&gt;")&amp;"&lt;/word&gt;&lt;/solution&gt;&lt;/solutions&gt;","")</f>
        <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2733</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&lt;solutions&gt;&lt;solution&gt;&lt;tongue&gt;de&lt;/tongue&gt;&lt;word&gt;Schildkröte&lt;/word&gt;&lt;/solution&gt;&lt;solution&gt;&lt;tongue&gt;en&lt;/tongue&gt;&lt;word&gt;turtle&lt;/word&gt;&lt;/solution&gt;&lt;/solutions&gt;</v>
      </c>
      <c r="C193" t="str">
        <f>IF(ISTEXT(Tabelle1[[#This Row],[Am.Englisch]]),"&lt;solutions&gt;&lt;solution&gt;&lt;tongue&gt;en-us&lt;/tongue&gt;&lt;word&gt;"&amp;SUBSTITUTE(Tabelle1[[#This Row],[Am.Englisch]],";","&lt;/word&gt;&lt;word&gt;")&amp;"&lt;/word&gt;&lt;/solution&gt;&lt;/solutions&gt;","")</f>
        <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2734</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&lt;solutions&gt;&lt;solution&gt;&lt;tongue&gt;de&lt;/tongue&gt;&lt;word&gt;Schloss&lt;/word&gt;&lt;/solution&gt;&lt;solution&gt;&lt;tongue&gt;en&lt;/tongue&gt;&lt;word&gt;lock&lt;/word&gt;&lt;/solution&gt;&lt;/solutions&gt;</v>
      </c>
      <c r="C194" t="str">
        <f>IF(ISTEXT(Tabelle1[[#This Row],[Am.Englisch]]),"&lt;solutions&gt;&lt;solution&gt;&lt;tongue&gt;en-us&lt;/tongue&gt;&lt;word&gt;"&amp;SUBSTITUTE(Tabelle1[[#This Row],[Am.Englisch]],";","&lt;/word&gt;&lt;word&gt;")&amp;"&lt;/word&gt;&lt;/solution&gt;&lt;/solutions&gt;","")</f>
        <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2735</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&lt;solutions&gt;&lt;solution&gt;&lt;tongue&gt;de&lt;/tongue&gt;&lt;word&gt;Schlüssel&lt;/word&gt;&lt;/solution&gt;&lt;solution&gt;&lt;tongue&gt;en&lt;/tongue&gt;&lt;word&gt;key&lt;/word&gt;&lt;/solution&gt;&lt;/solutions&gt;</v>
      </c>
      <c r="C195" t="str">
        <f>IF(ISTEXT(Tabelle1[[#This Row],[Am.Englisch]]),"&lt;solutions&gt;&lt;solution&gt;&lt;tongue&gt;en-us&lt;/tongue&gt;&lt;word&gt;"&amp;SUBSTITUTE(Tabelle1[[#This Row],[Am.Englisch]],";","&lt;/word&gt;&lt;word&gt;")&amp;"&lt;/word&gt;&lt;/solution&gt;&lt;/solutions&gt;","")</f>
        <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2736</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&lt;solutions&gt;&lt;solution&gt;&lt;tongue&gt;de&lt;/tongue&gt;&lt;word&gt;Schmetterling&lt;/word&gt;&lt;/solution&gt;&lt;solution&gt;&lt;tongue&gt;en&lt;/tongue&gt;&lt;word&gt;butterfly&lt;/word&gt;&lt;/solution&gt;&lt;/solutions&gt;</v>
      </c>
      <c r="C196" t="str">
        <f>IF(ISTEXT(Tabelle1[[#This Row],[Am.Englisch]]),"&lt;solutions&gt;&lt;solution&gt;&lt;tongue&gt;en-us&lt;/tongue&gt;&lt;word&gt;"&amp;SUBSTITUTE(Tabelle1[[#This Row],[Am.Englisch]],";","&lt;/word&gt;&lt;word&gt;")&amp;"&lt;/word&gt;&lt;/solution&gt;&lt;/solutions&gt;","")</f>
        <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2737</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&lt;solutions&gt;&lt;solution&gt;&lt;tongue&gt;de&lt;/tongue&gt;&lt;word&gt;Schnecke&lt;/word&gt;&lt;/solution&gt;&lt;solution&gt;&lt;tongue&gt;en&lt;/tongue&gt;&lt;word&gt;slug&lt;/word&gt;&lt;/solution&gt;&lt;/solutions&gt;</v>
      </c>
      <c r="C197" t="str">
        <f>IF(ISTEXT(Tabelle1[[#This Row],[Am.Englisch]]),"&lt;solutions&gt;&lt;solution&gt;&lt;tongue&gt;en-us&lt;/tongue&gt;&lt;word&gt;"&amp;SUBSTITUTE(Tabelle1[[#This Row],[Am.Englisch]],";","&lt;/word&gt;&lt;word&gt;")&amp;"&lt;/word&gt;&lt;/solution&gt;&lt;/solutions&gt;","")</f>
        <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2738</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&lt;solutions&gt;&lt;solution&gt;&lt;tongue&gt;de&lt;/tongue&gt;&lt;word&gt;Schnee&lt;/word&gt;&lt;/solution&gt;&lt;solution&gt;&lt;tongue&gt;en&lt;/tongue&gt;&lt;word&gt;snow&lt;/word&gt;&lt;/solution&gt;&lt;/solutions&gt;</v>
      </c>
      <c r="C198" t="str">
        <f>IF(ISTEXT(Tabelle1[[#This Row],[Am.Englisch]]),"&lt;solutions&gt;&lt;solution&gt;&lt;tongue&gt;en-us&lt;/tongue&gt;&lt;word&gt;"&amp;SUBSTITUTE(Tabelle1[[#This Row],[Am.Englisch]],";","&lt;/word&gt;&lt;word&gt;")&amp;"&lt;/word&gt;&lt;/solution&gt;&lt;/solutions&gt;","")</f>
        <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2739</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&lt;solutions&gt;&lt;solution&gt;&lt;tongue&gt;de&lt;/tongue&gt;&lt;word&gt;Schneeflocke&lt;/word&gt;&lt;/solution&gt;&lt;solution&gt;&lt;tongue&gt;en&lt;/tongue&gt;&lt;word&gt;snowflake&lt;/word&gt;&lt;/solution&gt;&lt;/solutions&gt;</v>
      </c>
      <c r="C199" t="str">
        <f>IF(ISTEXT(Tabelle1[[#This Row],[Am.Englisch]]),"&lt;solutions&gt;&lt;solution&gt;&lt;tongue&gt;en-us&lt;/tongue&gt;&lt;word&gt;"&amp;SUBSTITUTE(Tabelle1[[#This Row],[Am.Englisch]],";","&lt;/word&gt;&lt;word&gt;")&amp;"&lt;/word&gt;&lt;/solution&gt;&lt;/solutions&gt;","")</f>
        <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2740</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&lt;solutions&gt;&lt;solution&gt;&lt;tongue&gt;de&lt;/tongue&gt;&lt;word&gt;Schrank&lt;/word&gt;&lt;/solution&gt;&lt;solution&gt;&lt;tongue&gt;en&lt;/tongue&gt;&lt;word&gt;cupboard&lt;/word&gt;&lt;/solution&gt;&lt;/solutions&gt;</v>
      </c>
      <c r="C200" t="str">
        <f>IF(ISTEXT(Tabelle1[[#This Row],[Am.Englisch]]),"&lt;solutions&gt;&lt;solution&gt;&lt;tongue&gt;en-us&lt;/tongue&gt;&lt;word&gt;"&amp;SUBSTITUTE(Tabelle1[[#This Row],[Am.Englisch]],";","&lt;/word&gt;&lt;word&gt;")&amp;"&lt;/word&gt;&lt;/solution&gt;&lt;/solutions&gt;","")</f>
        <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2741</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&lt;solutions&gt;&lt;solution&gt;&lt;tongue&gt;de&lt;/tongue&gt;&lt;word&gt;Schraubenzieher&lt;/word&gt;&lt;/solution&gt;&lt;solution&gt;&lt;tongue&gt;en&lt;/tongue&gt;&lt;word&gt;screwdriver&lt;/word&gt;&lt;/solution&gt;&lt;/solutions&gt;</v>
      </c>
      <c r="C201" t="str">
        <f>IF(ISTEXT(Tabelle1[[#This Row],[Am.Englisch]]),"&lt;solutions&gt;&lt;solution&gt;&lt;tongue&gt;en-us&lt;/tongue&gt;&lt;word&gt;"&amp;SUBSTITUTE(Tabelle1[[#This Row],[Am.Englisch]],";","&lt;/word&gt;&lt;word&gt;")&amp;"&lt;/word&gt;&lt;/solution&gt;&lt;/solutions&gt;","")</f>
        <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2742</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&lt;solutions&gt;&lt;solution&gt;&lt;tongue&gt;de&lt;/tongue&gt;&lt;word&gt;Schwan&lt;/word&gt;&lt;/solution&gt;&lt;solution&gt;&lt;tongue&gt;en&lt;/tongue&gt;&lt;word&gt;swan&lt;/word&gt;&lt;/solution&gt;&lt;/solutions&gt;</v>
      </c>
      <c r="C202" t="str">
        <f>IF(ISTEXT(Tabelle1[[#This Row],[Am.Englisch]]),"&lt;solutions&gt;&lt;solution&gt;&lt;tongue&gt;en-us&lt;/tongue&gt;&lt;word&gt;"&amp;SUBSTITUTE(Tabelle1[[#This Row],[Am.Englisch]],";","&lt;/word&gt;&lt;word&gt;")&amp;"&lt;/word&gt;&lt;/solution&gt;&lt;/solutions&gt;","")</f>
        <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2743</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&lt;solutions&gt;&lt;solution&gt;&lt;tongue&gt;de&lt;/tongue&gt;&lt;word&gt;Schwert&lt;/word&gt;&lt;/solution&gt;&lt;solution&gt;&lt;tongue&gt;en&lt;/tongue&gt;&lt;word&gt;sword&lt;/word&gt;&lt;/solution&gt;&lt;/solutions&gt;</v>
      </c>
      <c r="C203" t="str">
        <f>IF(ISTEXT(Tabelle1[[#This Row],[Am.Englisch]]),"&lt;solutions&gt;&lt;solution&gt;&lt;tongue&gt;en-us&lt;/tongue&gt;&lt;word&gt;"&amp;SUBSTITUTE(Tabelle1[[#This Row],[Am.Englisch]],";","&lt;/word&gt;&lt;word&gt;")&amp;"&lt;/word&gt;&lt;/solution&gt;&lt;/solutions&gt;","")</f>
        <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2744</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&lt;solutions&gt;&lt;solution&gt;&lt;tongue&gt;de&lt;/tongue&gt;&lt;word&gt;Schwimmer&lt;/word&gt;&lt;/solution&gt;&lt;solution&gt;&lt;tongue&gt;en&lt;/tongue&gt;&lt;word&gt;swimmer&lt;/word&gt;&lt;/solution&gt;&lt;/solutions&gt;</v>
      </c>
      <c r="C204" t="str">
        <f>IF(ISTEXT(Tabelle1[[#This Row],[Am.Englisch]]),"&lt;solutions&gt;&lt;solution&gt;&lt;tongue&gt;en-us&lt;/tongue&gt;&lt;word&gt;"&amp;SUBSTITUTE(Tabelle1[[#This Row],[Am.Englisch]],";","&lt;/word&gt;&lt;word&gt;")&amp;"&lt;/word&gt;&lt;/solution&gt;&lt;/solutions&gt;","")</f>
        <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2745</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&lt;solutions&gt;&lt;solution&gt;&lt;tongue&gt;de&lt;/tongue&gt;&lt;word&gt;Seife&lt;/word&gt;&lt;/solution&gt;&lt;solution&gt;&lt;tongue&gt;en&lt;/tongue&gt;&lt;word&gt;soap&lt;/word&gt;&lt;/solution&gt;&lt;/solutions&gt;</v>
      </c>
      <c r="C205" t="str">
        <f>IF(ISTEXT(Tabelle1[[#This Row],[Am.Englisch]]),"&lt;solutions&gt;&lt;solution&gt;&lt;tongue&gt;en-us&lt;/tongue&gt;&lt;word&gt;"&amp;SUBSTITUTE(Tabelle1[[#This Row],[Am.Englisch]],";","&lt;/word&gt;&lt;word&gt;")&amp;"&lt;/word&gt;&lt;/solution&gt;&lt;/solutions&gt;","")</f>
        <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2746</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&lt;solutions&gt;&lt;solution&gt;&lt;tongue&gt;de&lt;/tongue&gt;&lt;word&gt;Signal&lt;/word&gt;&lt;word&gt;Wlan&lt;/word&gt;&lt;/solution&gt;&lt;solution&gt;&lt;tongue&gt;en&lt;/tongue&gt;&lt;word&gt;signal&lt;/word&gt;&lt;/solution&gt;&lt;/solutions&gt;</v>
      </c>
      <c r="C206" t="str">
        <f>IF(ISTEXT(Tabelle1[[#This Row],[Am.Englisch]]),"&lt;solutions&gt;&lt;solution&gt;&lt;tongue&gt;en-us&lt;/tongue&gt;&lt;word&gt;"&amp;SUBSTITUTE(Tabelle1[[#This Row],[Am.Englisch]],";","&lt;/word&gt;&lt;word&gt;")&amp;"&lt;/word&gt;&lt;/solution&gt;&lt;/solutions&gt;","")</f>
        <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2747</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&lt;solutions&gt;&lt;solution&gt;&lt;tongue&gt;de&lt;/tongue&gt;&lt;word&gt;Skorpion&lt;/word&gt;&lt;/solution&gt;&lt;solution&gt;&lt;tongue&gt;en&lt;/tongue&gt;&lt;word&gt;scorpion&lt;/word&gt;&lt;/solution&gt;&lt;/solutions&gt;</v>
      </c>
      <c r="C207" t="str">
        <f>IF(ISTEXT(Tabelle1[[#This Row],[Am.Englisch]]),"&lt;solutions&gt;&lt;solution&gt;&lt;tongue&gt;en-us&lt;/tongue&gt;&lt;word&gt;"&amp;SUBSTITUTE(Tabelle1[[#This Row],[Am.Englisch]],";","&lt;/word&gt;&lt;word&gt;")&amp;"&lt;/word&gt;&lt;/solution&gt;&lt;/solutions&gt;","")</f>
        <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2748</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&lt;solutions&gt;&lt;solution&gt;&lt;tongue&gt;de&lt;/tongue&gt;&lt;word&gt;Sonne&lt;/word&gt;&lt;/solution&gt;&lt;solution&gt;&lt;tongue&gt;en&lt;/tongue&gt;&lt;word&gt;sun&lt;/word&gt;&lt;/solution&gt;&lt;/solutions&gt;</v>
      </c>
      <c r="C208" t="str">
        <f>IF(ISTEXT(Tabelle1[[#This Row],[Am.Englisch]]),"&lt;solutions&gt;&lt;solution&gt;&lt;tongue&gt;en-us&lt;/tongue&gt;&lt;word&gt;"&amp;SUBSTITUTE(Tabelle1[[#This Row],[Am.Englisch]],";","&lt;/word&gt;&lt;word&gt;")&amp;"&lt;/word&gt;&lt;/solution&gt;&lt;/solutions&gt;","")</f>
        <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2749</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&lt;solutions&gt;&lt;solution&gt;&lt;tongue&gt;de&lt;/tongue&gt;&lt;word&gt;Sonnenblume&lt;/word&gt;&lt;/solution&gt;&lt;solution&gt;&lt;tongue&gt;en&lt;/tongue&gt;&lt;word&gt;sunflower&lt;/word&gt;&lt;/solution&gt;&lt;/solutions&gt;</v>
      </c>
      <c r="C209" t="str">
        <f>IF(ISTEXT(Tabelle1[[#This Row],[Am.Englisch]]),"&lt;solutions&gt;&lt;solution&gt;&lt;tongue&gt;en-us&lt;/tongue&gt;&lt;word&gt;"&amp;SUBSTITUTE(Tabelle1[[#This Row],[Am.Englisch]],";","&lt;/word&gt;&lt;word&gt;")&amp;"&lt;/word&gt;&lt;/solution&gt;&lt;/solutions&gt;","")</f>
        <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2750</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&lt;solutions&gt;&lt;solution&gt;&lt;tongue&gt;de&lt;/tongue&gt;&lt;word&gt;Sonnenuntergang&lt;/word&gt;&lt;/solution&gt;&lt;solution&gt;&lt;tongue&gt;en&lt;/tongue&gt;&lt;word&gt;sunset&lt;/word&gt;&lt;/solution&gt;&lt;/solutions&gt;</v>
      </c>
      <c r="C210" t="str">
        <f>IF(ISTEXT(Tabelle1[[#This Row],[Am.Englisch]]),"&lt;solutions&gt;&lt;solution&gt;&lt;tongue&gt;en-us&lt;/tongue&gt;&lt;word&gt;"&amp;SUBSTITUTE(Tabelle1[[#This Row],[Am.Englisch]],";","&lt;/word&gt;&lt;word&gt;")&amp;"&lt;/word&gt;&lt;/solution&gt;&lt;/solutions&gt;","")</f>
        <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2751</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&lt;solutions&gt;&lt;solution&gt;&lt;tongue&gt;de&lt;/tongue&gt;&lt;word&gt;Spiegelei&lt;/word&gt;&lt;/solution&gt;&lt;solution&gt;&lt;tongue&gt;en&lt;/tongue&gt;&lt;word&gt;friedegg&lt;/word&gt;&lt;/solution&gt;&lt;/solutions&gt;</v>
      </c>
      <c r="C211" t="str">
        <f>IF(ISTEXT(Tabelle1[[#This Row],[Am.Englisch]]),"&lt;solutions&gt;&lt;solution&gt;&lt;tongue&gt;en-us&lt;/tongue&gt;&lt;word&gt;"&amp;SUBSTITUTE(Tabelle1[[#This Row],[Am.Englisch]],";","&lt;/word&gt;&lt;word&gt;")&amp;"&lt;/word&gt;&lt;/solution&gt;&lt;/solutions&gt;","")</f>
        <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2752</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&lt;solutions&gt;&lt;solution&gt;&lt;tongue&gt;de&lt;/tongue&gt;&lt;word&gt;Spinne&lt;/word&gt;&lt;/solution&gt;&lt;solution&gt;&lt;tongue&gt;en&lt;/tongue&gt;&lt;word&gt;spider&lt;/word&gt;&lt;/solution&gt;&lt;/solutions&gt;</v>
      </c>
      <c r="C212" t="str">
        <f>IF(ISTEXT(Tabelle1[[#This Row],[Am.Englisch]]),"&lt;solutions&gt;&lt;solution&gt;&lt;tongue&gt;en-us&lt;/tongue&gt;&lt;word&gt;"&amp;SUBSTITUTE(Tabelle1[[#This Row],[Am.Englisch]],";","&lt;/word&gt;&lt;word&gt;")&amp;"&lt;/word&gt;&lt;/solution&gt;&lt;/solutions&gt;","")</f>
        <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2753</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&lt;solutions&gt;&lt;solution&gt;&lt;tongue&gt;de&lt;/tongue&gt;&lt;word&gt;Spinnennetz&lt;/word&gt;&lt;/solution&gt;&lt;solution&gt;&lt;tongue&gt;en&lt;/tongue&gt;&lt;word&gt;cobweb&lt;/word&gt;&lt;/solution&gt;&lt;/solutions&gt;</v>
      </c>
      <c r="C213" t="str">
        <f>IF(ISTEXT(Tabelle1[[#This Row],[Am.Englisch]]),"&lt;solutions&gt;&lt;solution&gt;&lt;tongue&gt;en-us&lt;/tongue&gt;&lt;word&gt;"&amp;SUBSTITUTE(Tabelle1[[#This Row],[Am.Englisch]],";","&lt;/word&gt;&lt;word&gt;")&amp;"&lt;/word&gt;&lt;/solution&gt;&lt;/solutions&gt;","")</f>
        <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2754</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&lt;solutions&gt;&lt;solution&gt;&lt;tongue&gt;de&lt;/tongue&gt;&lt;word&gt;Spirale&lt;/word&gt;&lt;/solution&gt;&lt;solution&gt;&lt;tongue&gt;en&lt;/tongue&gt;&lt;word&gt;spiral&lt;/word&gt;&lt;/solution&gt;&lt;/solutions&gt;</v>
      </c>
      <c r="C214" t="str">
        <f>IF(ISTEXT(Tabelle1[[#This Row],[Am.Englisch]]),"&lt;solutions&gt;&lt;solution&gt;&lt;tongue&gt;en-us&lt;/tongue&gt;&lt;word&gt;"&amp;SUBSTITUTE(Tabelle1[[#This Row],[Am.Englisch]],";","&lt;/word&gt;&lt;word&gt;")&amp;"&lt;/word&gt;&lt;/solution&gt;&lt;/solutions&gt;","")</f>
        <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2755</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&lt;solutions&gt;&lt;solution&gt;&lt;tongue&gt;de&lt;/tongue&gt;&lt;word&gt;Sprung&lt;/word&gt;&lt;word&gt;Riss&lt;/word&gt;&lt;/solution&gt;&lt;solution&gt;&lt;tongue&gt;en&lt;/tongue&gt;&lt;word&gt;crack&lt;/word&gt;&lt;/solution&gt;&lt;/solutions&gt;</v>
      </c>
      <c r="C215" t="str">
        <f>IF(ISTEXT(Tabelle1[[#This Row],[Am.Englisch]]),"&lt;solutions&gt;&lt;solution&gt;&lt;tongue&gt;en-us&lt;/tongue&gt;&lt;word&gt;"&amp;SUBSTITUTE(Tabelle1[[#This Row],[Am.Englisch]],";","&lt;/word&gt;&lt;word&gt;")&amp;"&lt;/word&gt;&lt;/solution&gt;&lt;/solutions&gt;","")</f>
        <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2756</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&lt;solutions&gt;&lt;solution&gt;&lt;tongue&gt;de&lt;/tongue&gt;&lt;word&gt;Stadt&lt;/word&gt;&lt;/solution&gt;&lt;solution&gt;&lt;tongue&gt;en&lt;/tongue&gt;&lt;word&gt;city&lt;/word&gt;&lt;/solution&gt;&lt;/solutions&gt;</v>
      </c>
      <c r="C216" t="str">
        <f>IF(ISTEXT(Tabelle1[[#This Row],[Am.Englisch]]),"&lt;solutions&gt;&lt;solution&gt;&lt;tongue&gt;en-us&lt;/tongue&gt;&lt;word&gt;"&amp;SUBSTITUTE(Tabelle1[[#This Row],[Am.Englisch]],";","&lt;/word&gt;&lt;word&gt;")&amp;"&lt;/word&gt;&lt;/solution&gt;&lt;/solutions&gt;","")</f>
        <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2757</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&lt;solutions&gt;&lt;solution&gt;&lt;tongue&gt;de&lt;/tongue&gt;&lt;word&gt;Stadt&lt;/word&gt;&lt;/solution&gt;&lt;solution&gt;&lt;tongue&gt;en&lt;/tongue&gt;&lt;word&gt;city&lt;/word&gt;&lt;/solution&gt;&lt;/solutions&gt;</v>
      </c>
      <c r="C217" t="str">
        <f>IF(ISTEXT(Tabelle1[[#This Row],[Am.Englisch]]),"&lt;solutions&gt;&lt;solution&gt;&lt;tongue&gt;en-us&lt;/tongue&gt;&lt;word&gt;"&amp;SUBSTITUTE(Tabelle1[[#This Row],[Am.Englisch]],";","&lt;/word&gt;&lt;word&gt;")&amp;"&lt;/word&gt;&lt;/solution&gt;&lt;/solutions&gt;","")</f>
        <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2758</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&lt;solutions&gt;&lt;solution&gt;&lt;tongue&gt;de&lt;/tongue&gt;&lt;word&gt;Statistik&lt;/word&gt;&lt;/solution&gt;&lt;solution&gt;&lt;tongue&gt;en&lt;/tongue&gt;&lt;word&gt;statistic&lt;/word&gt;&lt;/solution&gt;&lt;/solutions&gt;</v>
      </c>
      <c r="C218" t="str">
        <f>IF(ISTEXT(Tabelle1[[#This Row],[Am.Englisch]]),"&lt;solutions&gt;&lt;solution&gt;&lt;tongue&gt;en-us&lt;/tongue&gt;&lt;word&gt;"&amp;SUBSTITUTE(Tabelle1[[#This Row],[Am.Englisch]],";","&lt;/word&gt;&lt;word&gt;")&amp;"&lt;/word&gt;&lt;/solution&gt;&lt;/solutions&gt;","")</f>
        <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2759</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&lt;solutions&gt;&lt;solution&gt;&lt;tongue&gt;de&lt;/tongue&gt;&lt;word&gt;Statue&lt;/word&gt;&lt;/solution&gt;&lt;solution&gt;&lt;tongue&gt;en&lt;/tongue&gt;&lt;word&gt;statue&lt;/word&gt;&lt;/solution&gt;&lt;/solutions&gt;</v>
      </c>
      <c r="C219" t="str">
        <f>IF(ISTEXT(Tabelle1[[#This Row],[Am.Englisch]]),"&lt;solutions&gt;&lt;solution&gt;&lt;tongue&gt;en-us&lt;/tongue&gt;&lt;word&gt;"&amp;SUBSTITUTE(Tabelle1[[#This Row],[Am.Englisch]],";","&lt;/word&gt;&lt;word&gt;")&amp;"&lt;/word&gt;&lt;/solution&gt;&lt;/solutions&gt;","")</f>
        <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2760</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&lt;solutions&gt;&lt;solution&gt;&lt;tongue&gt;de&lt;/tongue&gt;&lt;word&gt;Steckdose&lt;/word&gt;&lt;/solution&gt;&lt;solution&gt;&lt;tongue&gt;en&lt;/tongue&gt;&lt;word&gt;socket&lt;/word&gt;&lt;/solution&gt;&lt;/solutions&gt;</v>
      </c>
      <c r="C220" t="str">
        <f>IF(ISTEXT(Tabelle1[[#This Row],[Am.Englisch]]),"&lt;solutions&gt;&lt;solution&gt;&lt;tongue&gt;en-us&lt;/tongue&gt;&lt;word&gt;"&amp;SUBSTITUTE(Tabelle1[[#This Row],[Am.Englisch]],";","&lt;/word&gt;&lt;word&gt;")&amp;"&lt;/word&gt;&lt;/solution&gt;&lt;/solutions&gt;","")</f>
        <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2761</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&lt;solutions&gt;&lt;solution&gt;&lt;tongue&gt;de&lt;/tongue&gt;&lt;word&gt;Stecknadel&lt;/word&gt;&lt;/solution&gt;&lt;solution&gt;&lt;tongue&gt;en&lt;/tongue&gt;&lt;word&gt;pin&lt;/word&gt;&lt;/solution&gt;&lt;/solutions&gt;</v>
      </c>
      <c r="C221" t="str">
        <f>IF(ISTEXT(Tabelle1[[#This Row],[Am.Englisch]]),"&lt;solutions&gt;&lt;solution&gt;&lt;tongue&gt;en-us&lt;/tongue&gt;&lt;word&gt;"&amp;SUBSTITUTE(Tabelle1[[#This Row],[Am.Englisch]],";","&lt;/word&gt;&lt;word&gt;")&amp;"&lt;/word&gt;&lt;/solution&gt;&lt;/solutions&gt;","")</f>
        <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2762</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&lt;solutions&gt;&lt;solution&gt;&lt;tongue&gt;de&lt;/tongue&gt;&lt;word&gt;steine&lt;/word&gt;&lt;/solution&gt;&lt;solution&gt;&lt;tongue&gt;en&lt;/tongue&gt;&lt;word&gt;stones&lt;/word&gt;&lt;/solution&gt;&lt;/solutions&gt;</v>
      </c>
      <c r="C222" t="str">
        <f>IF(ISTEXT(Tabelle1[[#This Row],[Am.Englisch]]),"&lt;solutions&gt;&lt;solution&gt;&lt;tongue&gt;en-us&lt;/tongue&gt;&lt;word&gt;"&amp;SUBSTITUTE(Tabelle1[[#This Row],[Am.Englisch]],";","&lt;/word&gt;&lt;word&gt;")&amp;"&lt;/word&gt;&lt;/solution&gt;&lt;/solutions&gt;","")</f>
        <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2763</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&lt;solutions&gt;&lt;solution&gt;&lt;tongue&gt;de&lt;/tongue&gt;&lt;word&gt;Stern&lt;/word&gt;&lt;/solution&gt;&lt;solution&gt;&lt;tongue&gt;en&lt;/tongue&gt;&lt;word&gt;star&lt;/word&gt;&lt;/solution&gt;&lt;/solutions&gt;</v>
      </c>
      <c r="C223" t="str">
        <f>IF(ISTEXT(Tabelle1[[#This Row],[Am.Englisch]]),"&lt;solutions&gt;&lt;solution&gt;&lt;tongue&gt;en-us&lt;/tongue&gt;&lt;word&gt;"&amp;SUBSTITUTE(Tabelle1[[#This Row],[Am.Englisch]],";","&lt;/word&gt;&lt;word&gt;")&amp;"&lt;/word&gt;&lt;/solution&gt;&lt;/solutions&gt;","")</f>
        <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2764</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&lt;solutions&gt;&lt;solution&gt;&lt;tongue&gt;de&lt;/tongue&gt;&lt;word&gt;Stier&lt;/word&gt;&lt;/solution&gt;&lt;solution&gt;&lt;tongue&gt;en&lt;/tongue&gt;&lt;word&gt;bull&lt;/word&gt;&lt;/solution&gt;&lt;/solutions&gt;</v>
      </c>
      <c r="C224" t="str">
        <f>IF(ISTEXT(Tabelle1[[#This Row],[Am.Englisch]]),"&lt;solutions&gt;&lt;solution&gt;&lt;tongue&gt;en-us&lt;/tongue&gt;&lt;word&gt;"&amp;SUBSTITUTE(Tabelle1[[#This Row],[Am.Englisch]],";","&lt;/word&gt;&lt;word&gt;")&amp;"&lt;/word&gt;&lt;/solution&gt;&lt;/solutions&gt;","")</f>
        <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2765</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&lt;solutions&gt;&lt;solution&gt;&lt;tongue&gt;de&lt;/tongue&gt;&lt;word&gt;Stift&lt;/word&gt;&lt;/solution&gt;&lt;solution&gt;&lt;tongue&gt;en&lt;/tongue&gt;&lt;word&gt;pencil&lt;/word&gt;&lt;/solution&gt;&lt;/solutions&gt;</v>
      </c>
      <c r="C225" t="str">
        <f>IF(ISTEXT(Tabelle1[[#This Row],[Am.Englisch]]),"&lt;solutions&gt;&lt;solution&gt;&lt;tongue&gt;en-us&lt;/tongue&gt;&lt;word&gt;"&amp;SUBSTITUTE(Tabelle1[[#This Row],[Am.Englisch]],";","&lt;/word&gt;&lt;word&gt;")&amp;"&lt;/word&gt;&lt;/solution&gt;&lt;/solutions&gt;","")</f>
        <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2766</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&lt;solutions&gt;&lt;solution&gt;&lt;tongue&gt;de&lt;/tongue&gt;&lt;word&gt;Streifen&lt;/word&gt;&lt;word&gt;Linien&lt;/word&gt;&lt;/solution&gt;&lt;solution&gt;&lt;tongue&gt;en&lt;/tongue&gt;&lt;word&gt;stripes&lt;/word&gt;&lt;/solution&gt;&lt;/solutions&gt;</v>
      </c>
      <c r="C226" t="str">
        <f>IF(ISTEXT(Tabelle1[[#This Row],[Am.Englisch]]),"&lt;solutions&gt;&lt;solution&gt;&lt;tongue&gt;en-us&lt;/tongue&gt;&lt;word&gt;"&amp;SUBSTITUTE(Tabelle1[[#This Row],[Am.Englisch]],";","&lt;/word&gt;&lt;word&gt;")&amp;"&lt;/word&gt;&lt;/solution&gt;&lt;/solutions&gt;","")</f>
        <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2767</v>
      </c>
      <c r="O226" s="23" t="s">
        <v>1450</v>
      </c>
    </row>
    <row r="227" spans="1:15">
      <c r="A227" t="str">
        <f>"&lt;image&gt;&lt;resname&gt;"&amp;Tabelle1[[#This Row],[Dateiname]]&amp;"&lt;/resname&gt;"</f>
        <v>&lt;image&gt;&lt;resname&gt;herbst&lt;/resname&gt;</v>
      </c>
      <c r="B2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rbst&lt;/word&gt;&lt;word&gt;Laub&lt;/word&gt;&lt;/solution&gt;&lt;solution&gt;&lt;tongue&gt;en&lt;/tongue&gt;&lt;word&gt;autumn&lt;/word&gt;&lt;word&gt;leaves&lt;/word&gt;&lt;/solution&gt;&lt;/solutions&gt;</v>
      </c>
      <c r="C227" t="str">
        <f>IF(ISTEXT(Tabelle1[[#This Row],[Am.Englisch]]),"&lt;solutions&gt;&lt;solution&gt;&lt;tongue&gt;en-us&lt;/tongue&gt;&lt;word&gt;"&amp;SUBSTITUTE(Tabelle1[[#This Row],[Am.Englisch]],";","&lt;/word&gt;&lt;word&gt;")&amp;"&lt;/word&gt;&lt;/solution&gt;&lt;/solutions&gt;","")</f>
        <v>&lt;solutions&gt;&lt;solution&gt;&lt;tongue&gt;en-us&lt;/tongue&gt;&lt;word&gt;fall&lt;/word&gt;&lt;word&gt;leaves&lt;/word&gt;&lt;/solution&gt;&lt;/solutions&gt;</v>
      </c>
      <c r="D2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t="str">
        <f>IF(Tabelle1[[#This Row],[Preference]]="","","&lt;riddleprefs&gt;&lt;type&gt;"&amp;SUBSTITUTE(Tabelle1[[#This Row],[Preference]],";","&lt;/type&gt;&lt;/riddleprefs&gt;&lt;riddleprefs&gt;&lt;type&gt;")&amp;"&lt;/type&gt;&lt;/riddleprefs&gt;")</f>
        <v/>
      </c>
      <c r="F227" t="str">
        <f>IF(Tabelle1[[#This Row],[Refused]]="","&lt;/image&gt;","&lt;riddlerefused&gt;&lt;type&gt;"&amp;SUBSTITUTE(Tabelle1[[#This Row],[Refused]],";","&lt;/type&gt;&lt;/riddlerefused&gt;&lt;riddlerefused&gt;&lt;type&gt;")&amp;"&lt;/type&gt;&lt;/riddlerefused&gt;&lt;/image&gt;")</f>
        <v>&lt;/image&gt;</v>
      </c>
      <c r="G227"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s&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14" t="s">
        <v>2768</v>
      </c>
      <c r="O227" s="2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&lt;solutions&gt;&lt;solution&gt;&lt;tongue&gt;de&lt;/tongue&gt;&lt;word&gt;Stuhl&lt;/word&gt;&lt;/solution&gt;&lt;solution&gt;&lt;tongue&gt;en&lt;/tongue&gt;&lt;word&gt;chair&lt;/word&gt;&lt;/solution&gt;&lt;/solutions&gt;</v>
      </c>
      <c r="C228" t="str">
        <f>IF(ISTEXT(Tabelle1[[#This Row],[Am.Englisch]]),"&lt;solutions&gt;&lt;solution&gt;&lt;tongue&gt;en-us&lt;/tongue&gt;&lt;word&gt;"&amp;SUBSTITUTE(Tabelle1[[#This Row],[Am.Englisch]],";","&lt;/word&gt;&lt;word&gt;")&amp;"&lt;/word&gt;&lt;/solution&gt;&lt;/solutions&gt;","")</f>
        <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2769</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&lt;solutions&gt;&lt;solution&gt;&lt;tongue&gt;de&lt;/tongue&gt;&lt;word&gt;Email&lt;/word&gt;&lt;/solution&gt;&lt;solution&gt;&lt;tongue&gt;en&lt;/tongue&gt;&lt;word&gt;email&lt;/word&gt;&lt;/solution&gt;&lt;/solutions&gt;</v>
      </c>
      <c r="C229" t="str">
        <f>IF(ISTEXT(Tabelle1[[#This Row],[Am.Englisch]]),"&lt;solutions&gt;&lt;solution&gt;&lt;tongue&gt;en-us&lt;/tongue&gt;&lt;word&gt;"&amp;SUBSTITUTE(Tabelle1[[#This Row],[Am.Englisch]],";","&lt;/word&gt;&lt;word&gt;")&amp;"&lt;/word&gt;&lt;/solution&gt;&lt;/solutions&gt;","")</f>
        <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2770</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&lt;solutions&gt;&lt;solution&gt;&lt;tongue&gt;de&lt;/tongue&gt;&lt;word&gt;Symbole&lt;/word&gt;&lt;/solution&gt;&lt;solution&gt;&lt;tongue&gt;en&lt;/tongue&gt;&lt;word&gt;symbols&lt;/word&gt;&lt;/solution&gt;&lt;/solutions&gt;</v>
      </c>
      <c r="C230" t="str">
        <f>IF(ISTEXT(Tabelle1[[#This Row],[Am.Englisch]]),"&lt;solutions&gt;&lt;solution&gt;&lt;tongue&gt;en-us&lt;/tongue&gt;&lt;word&gt;"&amp;SUBSTITUTE(Tabelle1[[#This Row],[Am.Englisch]],";","&lt;/word&gt;&lt;word&gt;")&amp;"&lt;/word&gt;&lt;/solution&gt;&lt;/solutions&gt;","")</f>
        <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2771</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&lt;solutions&gt;&lt;solution&gt;&lt;tongue&gt;de&lt;/tongue&gt;&lt;word&gt;Tabelle&lt;/word&gt;&lt;/solution&gt;&lt;solution&gt;&lt;tongue&gt;en&lt;/tongue&gt;&lt;word&gt;table&lt;/word&gt;&lt;/solution&gt;&lt;/solutions&gt;</v>
      </c>
      <c r="C231" t="str">
        <f>IF(ISTEXT(Tabelle1[[#This Row],[Am.Englisch]]),"&lt;solutions&gt;&lt;solution&gt;&lt;tongue&gt;en-us&lt;/tongue&gt;&lt;word&gt;"&amp;SUBSTITUTE(Tabelle1[[#This Row],[Am.Englisch]],";","&lt;/word&gt;&lt;word&gt;")&amp;"&lt;/word&gt;&lt;/solution&gt;&lt;/solutions&gt;","")</f>
        <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2772</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&lt;solutions&gt;&lt;solution&gt;&lt;tongue&gt;de&lt;/tongue&gt;&lt;word&gt;Medizin&lt;/word&gt;&lt;/solution&gt;&lt;solution&gt;&lt;tongue&gt;en&lt;/tongue&gt;&lt;word&gt;medicin&lt;/word&gt;&lt;/solution&gt;&lt;/solutions&gt;</v>
      </c>
      <c r="C232" t="str">
        <f>IF(ISTEXT(Tabelle1[[#This Row],[Am.Englisch]]),"&lt;solutions&gt;&lt;solution&gt;&lt;tongue&gt;en-us&lt;/tongue&gt;&lt;word&gt;"&amp;SUBSTITUTE(Tabelle1[[#This Row],[Am.Englisch]],";","&lt;/word&gt;&lt;word&gt;")&amp;"&lt;/word&gt;&lt;/solution&gt;&lt;/solutions&gt;","")</f>
        <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2773</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&lt;solutions&gt;&lt;solution&gt;&lt;tongue&gt;de&lt;/tongue&gt;&lt;word&gt;Taschenmesser&lt;/word&gt;&lt;/solution&gt;&lt;solution&gt;&lt;tongue&gt;en&lt;/tongue&gt;&lt;word&gt;pocketknife&lt;/word&gt;&lt;/solution&gt;&lt;/solutions&gt;</v>
      </c>
      <c r="C233" t="str">
        <f>IF(ISTEXT(Tabelle1[[#This Row],[Am.Englisch]]),"&lt;solutions&gt;&lt;solution&gt;&lt;tongue&gt;en-us&lt;/tongue&gt;&lt;word&gt;"&amp;SUBSTITUTE(Tabelle1[[#This Row],[Am.Englisch]],";","&lt;/word&gt;&lt;word&gt;")&amp;"&lt;/word&gt;&lt;/solution&gt;&lt;/solutions&gt;","")</f>
        <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2774</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&lt;solutions&gt;&lt;solution&gt;&lt;tongue&gt;de&lt;/tongue&gt;&lt;word&gt;Tastatur&lt;/word&gt;&lt;/solution&gt;&lt;solution&gt;&lt;tongue&gt;en&lt;/tongue&gt;&lt;word&gt;keyboard&lt;/word&gt;&lt;/solution&gt;&lt;/solutions&gt;</v>
      </c>
      <c r="C234" t="str">
        <f>IF(ISTEXT(Tabelle1[[#This Row],[Am.Englisch]]),"&lt;solutions&gt;&lt;solution&gt;&lt;tongue&gt;en-us&lt;/tongue&gt;&lt;word&gt;"&amp;SUBSTITUTE(Tabelle1[[#This Row],[Am.Englisch]],";","&lt;/word&gt;&lt;word&gt;")&amp;"&lt;/word&gt;&lt;/solution&gt;&lt;/solutions&gt;","")</f>
        <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2775</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&lt;solutions&gt;&lt;solution&gt;&lt;tongue&gt;de&lt;/tongue&gt;&lt;word&gt;Tattoo&lt;/word&gt;&lt;/solution&gt;&lt;solution&gt;&lt;tongue&gt;en&lt;/tongue&gt;&lt;word&gt;tattoo&lt;/word&gt;&lt;/solution&gt;&lt;/solutions&gt;</v>
      </c>
      <c r="C235" t="str">
        <f>IF(ISTEXT(Tabelle1[[#This Row],[Am.Englisch]]),"&lt;solutions&gt;&lt;solution&gt;&lt;tongue&gt;en-us&lt;/tongue&gt;&lt;word&gt;"&amp;SUBSTITUTE(Tabelle1[[#This Row],[Am.Englisch]],";","&lt;/word&gt;&lt;word&gt;")&amp;"&lt;/word&gt;&lt;/solution&gt;&lt;/solutions&gt;","")</f>
        <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2776</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&lt;solutions&gt;&lt;solution&gt;&lt;tongue&gt;de&lt;/tongue&gt;&lt;word&gt;Teddybär&lt;/word&gt;&lt;/solution&gt;&lt;solution&gt;&lt;tongue&gt;en&lt;/tongue&gt;&lt;word&gt;teddy&lt;/word&gt;&lt;/solution&gt;&lt;/solutions&gt;</v>
      </c>
      <c r="C236" t="str">
        <f>IF(ISTEXT(Tabelle1[[#This Row],[Am.Englisch]]),"&lt;solutions&gt;&lt;solution&gt;&lt;tongue&gt;en-us&lt;/tongue&gt;&lt;word&gt;"&amp;SUBSTITUTE(Tabelle1[[#This Row],[Am.Englisch]],";","&lt;/word&gt;&lt;word&gt;")&amp;"&lt;/word&gt;&lt;/solution&gt;&lt;/solutions&gt;","")</f>
        <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2777</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&lt;solutions&gt;&lt;solution&gt;&lt;tongue&gt;de&lt;/tongue&gt;&lt;word&gt;Telefon&lt;/word&gt;&lt;/solution&gt;&lt;solution&gt;&lt;tongue&gt;en&lt;/tongue&gt;&lt;word&gt;phone&lt;/word&gt;&lt;/solution&gt;&lt;/solutions&gt;</v>
      </c>
      <c r="C237" t="str">
        <f>IF(ISTEXT(Tabelle1[[#This Row],[Am.Englisch]]),"&lt;solutions&gt;&lt;solution&gt;&lt;tongue&gt;en-us&lt;/tongue&gt;&lt;word&gt;"&amp;SUBSTITUTE(Tabelle1[[#This Row],[Am.Englisch]],";","&lt;/word&gt;&lt;word&gt;")&amp;"&lt;/word&gt;&lt;/solution&gt;&lt;/solutions&gt;","")</f>
        <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2778</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&lt;solutions&gt;&lt;solution&gt;&lt;tongue&gt;de&lt;/tongue&gt;&lt;word&gt;Tennisball&lt;/word&gt;&lt;/solution&gt;&lt;solution&gt;&lt;tongue&gt;en&lt;/tongue&gt;&lt;word&gt;tennisball&lt;/word&gt;&lt;/solution&gt;&lt;/solutions&gt;</v>
      </c>
      <c r="C238" t="str">
        <f>IF(ISTEXT(Tabelle1[[#This Row],[Am.Englisch]]),"&lt;solutions&gt;&lt;solution&gt;&lt;tongue&gt;en-us&lt;/tongue&gt;&lt;word&gt;"&amp;SUBSTITUTE(Tabelle1[[#This Row],[Am.Englisch]],";","&lt;/word&gt;&lt;word&gt;")&amp;"&lt;/word&gt;&lt;/solution&gt;&lt;/solutions&gt;","")</f>
        <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2779</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&lt;solutions&gt;&lt;solution&gt;&lt;tongue&gt;de&lt;/tongue&gt;&lt;word&gt;Maske&lt;/word&gt;&lt;/solution&gt;&lt;solution&gt;&lt;tongue&gt;en&lt;/tongue&gt;&lt;word&gt;mask&lt;/word&gt;&lt;/solution&gt;&lt;/solutions&gt;</v>
      </c>
      <c r="C239" t="str">
        <f>IF(ISTEXT(Tabelle1[[#This Row],[Am.Englisch]]),"&lt;solutions&gt;&lt;solution&gt;&lt;tongue&gt;en-us&lt;/tongue&gt;&lt;word&gt;"&amp;SUBSTITUTE(Tabelle1[[#This Row],[Am.Englisch]],";","&lt;/word&gt;&lt;word&gt;")&amp;"&lt;/word&gt;&lt;/solution&gt;&lt;/solutions&gt;","")</f>
        <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2780</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&lt;solutions&gt;&lt;solution&gt;&lt;tongue&gt;de&lt;/tongue&gt;&lt;word&gt;Tisch&lt;/word&gt;&lt;/solution&gt;&lt;solution&gt;&lt;tongue&gt;en&lt;/tongue&gt;&lt;word&gt;table&lt;/word&gt;&lt;/solution&gt;&lt;/solutions&gt;</v>
      </c>
      <c r="C240" t="str">
        <f>IF(ISTEXT(Tabelle1[[#This Row],[Am.Englisch]]),"&lt;solutions&gt;&lt;solution&gt;&lt;tongue&gt;en-us&lt;/tongue&gt;&lt;word&gt;"&amp;SUBSTITUTE(Tabelle1[[#This Row],[Am.Englisch]],";","&lt;/word&gt;&lt;word&gt;")&amp;"&lt;/word&gt;&lt;/solution&gt;&lt;/solutions&gt;","")</f>
        <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2781</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&lt;solutions&gt;&lt;solution&gt;&lt;tongue&gt;de&lt;/tongue&gt;&lt;word&gt;Tomate&lt;/word&gt;&lt;/solution&gt;&lt;solution&gt;&lt;tongue&gt;en&lt;/tongue&gt;&lt;word&gt;tomato&lt;/word&gt;&lt;/solution&gt;&lt;/solutions&gt;</v>
      </c>
      <c r="C241" t="str">
        <f>IF(ISTEXT(Tabelle1[[#This Row],[Am.Englisch]]),"&lt;solutions&gt;&lt;solution&gt;&lt;tongue&gt;en-us&lt;/tongue&gt;&lt;word&gt;"&amp;SUBSTITUTE(Tabelle1[[#This Row],[Am.Englisch]],";","&lt;/word&gt;&lt;word&gt;")&amp;"&lt;/word&gt;&lt;/solution&gt;&lt;/solutions&gt;","")</f>
        <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2782</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&lt;solutions&gt;&lt;solution&gt;&lt;tongue&gt;de&lt;/tongue&gt;&lt;word&gt;Tornado&lt;/word&gt;&lt;/solution&gt;&lt;solution&gt;&lt;tongue&gt;en&lt;/tongue&gt;&lt;word&gt;tornado&lt;/word&gt;&lt;/solution&gt;&lt;/solutions&gt;</v>
      </c>
      <c r="C242" t="str">
        <f>IF(ISTEXT(Tabelle1[[#This Row],[Am.Englisch]]),"&lt;solutions&gt;&lt;solution&gt;&lt;tongue&gt;en-us&lt;/tongue&gt;&lt;word&gt;"&amp;SUBSTITUTE(Tabelle1[[#This Row],[Am.Englisch]],";","&lt;/word&gt;&lt;word&gt;")&amp;"&lt;/word&gt;&lt;/solution&gt;&lt;/solutions&gt;","")</f>
        <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2783</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&lt;solutions&gt;&lt;solution&gt;&lt;tongue&gt;de&lt;/tongue&gt;&lt;word&gt;Totenkopf&lt;/word&gt;&lt;/solution&gt;&lt;solution&gt;&lt;tongue&gt;en&lt;/tongue&gt;&lt;word&gt;skull&lt;/word&gt;&lt;/solution&gt;&lt;/solutions&gt;</v>
      </c>
      <c r="C243" t="str">
        <f>IF(ISTEXT(Tabelle1[[#This Row],[Am.Englisch]]),"&lt;solutions&gt;&lt;solution&gt;&lt;tongue&gt;en-us&lt;/tongue&gt;&lt;word&gt;"&amp;SUBSTITUTE(Tabelle1[[#This Row],[Am.Englisch]],";","&lt;/word&gt;&lt;word&gt;")&amp;"&lt;/word&gt;&lt;/solution&gt;&lt;/solutions&gt;","")</f>
        <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2784</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&lt;solutions&gt;&lt;solution&gt;&lt;tongue&gt;de&lt;/tongue&gt;&lt;word&gt;Traktor&lt;/word&gt;&lt;/solution&gt;&lt;solution&gt;&lt;tongue&gt;en&lt;/tongue&gt;&lt;word&gt;tractor&lt;/word&gt;&lt;/solution&gt;&lt;/solutions&gt;</v>
      </c>
      <c r="C244" t="str">
        <f>IF(ISTEXT(Tabelle1[[#This Row],[Am.Englisch]]),"&lt;solutions&gt;&lt;solution&gt;&lt;tongue&gt;en-us&lt;/tongue&gt;&lt;word&gt;"&amp;SUBSTITUTE(Tabelle1[[#This Row],[Am.Englisch]],";","&lt;/word&gt;&lt;word&gt;")&amp;"&lt;/word&gt;&lt;/solution&gt;&lt;/solutions&gt;","")</f>
        <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2785</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&lt;solutions&gt;&lt;solution&gt;&lt;tongue&gt;de&lt;/tongue&gt;&lt;word&gt;Pokal&lt;/word&gt;&lt;word&gt;Trophäe&lt;/word&gt;&lt;/solution&gt;&lt;solution&gt;&lt;tongue&gt;en&lt;/tongue&gt;&lt;word&gt;trophy&lt;/word&gt;&lt;/solution&gt;&lt;/solutions&gt;</v>
      </c>
      <c r="C245" t="str">
        <f>IF(ISTEXT(Tabelle1[[#This Row],[Am.Englisch]]),"&lt;solutions&gt;&lt;solution&gt;&lt;tongue&gt;en-us&lt;/tongue&gt;&lt;word&gt;"&amp;SUBSTITUTE(Tabelle1[[#This Row],[Am.Englisch]],";","&lt;/word&gt;&lt;word&gt;")&amp;"&lt;/word&gt;&lt;/solution&gt;&lt;/solutions&gt;","")</f>
        <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2786</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&lt;solutions&gt;&lt;solution&gt;&lt;tongue&gt;de&lt;/tongue&gt;&lt;word&gt;Tshirt&lt;/word&gt;&lt;/solution&gt;&lt;solution&gt;&lt;tongue&gt;en&lt;/tongue&gt;&lt;word&gt;tshirt&lt;/word&gt;&lt;/solution&gt;&lt;/solutions&gt;</v>
      </c>
      <c r="C246" t="str">
        <f>IF(ISTEXT(Tabelle1[[#This Row],[Am.Englisch]]),"&lt;solutions&gt;&lt;solution&gt;&lt;tongue&gt;en-us&lt;/tongue&gt;&lt;word&gt;"&amp;SUBSTITUTE(Tabelle1[[#This Row],[Am.Englisch]],";","&lt;/word&gt;&lt;word&gt;")&amp;"&lt;/word&gt;&lt;/solution&gt;&lt;/solutions&gt;","")</f>
        <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2787</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&lt;solutions&gt;&lt;solution&gt;&lt;tongue&gt;de&lt;/tongue&gt;&lt;word&gt;Tür&lt;/word&gt;&lt;/solution&gt;&lt;solution&gt;&lt;tongue&gt;en&lt;/tongue&gt;&lt;word&gt;door&lt;/word&gt;&lt;/solution&gt;&lt;/solutions&gt;</v>
      </c>
      <c r="C247" t="str">
        <f>IF(ISTEXT(Tabelle1[[#This Row],[Am.Englisch]]),"&lt;solutions&gt;&lt;solution&gt;&lt;tongue&gt;en-us&lt;/tongue&gt;&lt;word&gt;"&amp;SUBSTITUTE(Tabelle1[[#This Row],[Am.Englisch]],";","&lt;/word&gt;&lt;word&gt;")&amp;"&lt;/word&gt;&lt;/solution&gt;&lt;/solutions&gt;","")</f>
        <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2788</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&lt;solutions&gt;&lt;solution&gt;&lt;tongue&gt;de&lt;/tongue&gt;&lt;word&gt;Tulpen&lt;/word&gt;&lt;/solution&gt;&lt;solution&gt;&lt;tongue&gt;en&lt;/tongue&gt;&lt;word&gt;tulips&lt;/word&gt;&lt;/solution&gt;&lt;/solutions&gt;</v>
      </c>
      <c r="C248" t="str">
        <f>IF(ISTEXT(Tabelle1[[#This Row],[Am.Englisch]]),"&lt;solutions&gt;&lt;solution&gt;&lt;tongue&gt;en-us&lt;/tongue&gt;&lt;word&gt;"&amp;SUBSTITUTE(Tabelle1[[#This Row],[Am.Englisch]],";","&lt;/word&gt;&lt;word&gt;")&amp;"&lt;/word&gt;&lt;/solution&gt;&lt;/solutions&gt;","")</f>
        <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2789</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&lt;solutions&gt;&lt;solution&gt;&lt;tongue&gt;de&lt;/tongue&gt;&lt;word&gt;Twitter&lt;/word&gt;&lt;/solution&gt;&lt;solution&gt;&lt;tongue&gt;en&lt;/tongue&gt;&lt;word&gt;twitter&lt;/word&gt;&lt;/solution&gt;&lt;/solutions&gt;</v>
      </c>
      <c r="C249" t="str">
        <f>IF(ISTEXT(Tabelle1[[#This Row],[Am.Englisch]]),"&lt;solutions&gt;&lt;solution&gt;&lt;tongue&gt;en-us&lt;/tongue&gt;&lt;word&gt;"&amp;SUBSTITUTE(Tabelle1[[#This Row],[Am.Englisch]],";","&lt;/word&gt;&lt;word&gt;")&amp;"&lt;/word&gt;&lt;/solution&gt;&lt;/solutions&gt;","")</f>
        <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2790</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&lt;solutions&gt;&lt;solution&gt;&lt;tongue&gt;de&lt;/tongue&gt;&lt;word&gt;Uhr&lt;/word&gt;&lt;/solution&gt;&lt;solution&gt;&lt;tongue&gt;en&lt;/tongue&gt;&lt;word&gt;clock&lt;/word&gt;&lt;/solution&gt;&lt;/solutions&gt;</v>
      </c>
      <c r="C250" t="str">
        <f>IF(ISTEXT(Tabelle1[[#This Row],[Am.Englisch]]),"&lt;solutions&gt;&lt;solution&gt;&lt;tongue&gt;en-us&lt;/tongue&gt;&lt;word&gt;"&amp;SUBSTITUTE(Tabelle1[[#This Row],[Am.Englisch]],";","&lt;/word&gt;&lt;word&gt;")&amp;"&lt;/word&gt;&lt;/solution&gt;&lt;/solutions&gt;","")</f>
        <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2791</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&lt;solutions&gt;&lt;solution&gt;&lt;tongue&gt;de&lt;/tongue&gt;&lt;word&gt;Unendlich&lt;/word&gt;&lt;/solution&gt;&lt;solution&gt;&lt;tongue&gt;en&lt;/tongue&gt;&lt;word&gt;infinity&lt;/word&gt;&lt;/solution&gt;&lt;/solutions&gt;</v>
      </c>
      <c r="C251" t="str">
        <f>IF(ISTEXT(Tabelle1[[#This Row],[Am.Englisch]]),"&lt;solutions&gt;&lt;solution&gt;&lt;tongue&gt;en-us&lt;/tongue&gt;&lt;word&gt;"&amp;SUBSTITUTE(Tabelle1[[#This Row],[Am.Englisch]],";","&lt;/word&gt;&lt;word&gt;")&amp;"&lt;/word&gt;&lt;/solution&gt;&lt;/solutions&gt;","")</f>
        <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2792</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&lt;solutions&gt;&lt;solution&gt;&lt;tongue&gt;de&lt;/tongue&gt;&lt;word&gt;Unterführung&lt;/word&gt;&lt;/solution&gt;&lt;solution&gt;&lt;tongue&gt;en&lt;/tongue&gt;&lt;word&gt;underpass&lt;/word&gt;&lt;/solution&gt;&lt;/solutions&gt;</v>
      </c>
      <c r="C252" t="str">
        <f>IF(ISTEXT(Tabelle1[[#This Row],[Am.Englisch]]),"&lt;solutions&gt;&lt;solution&gt;&lt;tongue&gt;en-us&lt;/tongue&gt;&lt;word&gt;"&amp;SUBSTITUTE(Tabelle1[[#This Row],[Am.Englisch]],";","&lt;/word&gt;&lt;word&gt;")&amp;"&lt;/word&gt;&lt;/solution&gt;&lt;/solutions&gt;","")</f>
        <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2793</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&lt;solutions&gt;&lt;solution&gt;&lt;tongue&gt;de&lt;/tongue&gt;&lt;word&gt;Vase&lt;/word&gt;&lt;/solution&gt;&lt;solution&gt;&lt;tongue&gt;en&lt;/tongue&gt;&lt;word&gt;vase&lt;/word&gt;&lt;/solution&gt;&lt;/solutions&gt;</v>
      </c>
      <c r="C253" t="str">
        <f>IF(ISTEXT(Tabelle1[[#This Row],[Am.Englisch]]),"&lt;solutions&gt;&lt;solution&gt;&lt;tongue&gt;en-us&lt;/tongue&gt;&lt;word&gt;"&amp;SUBSTITUTE(Tabelle1[[#This Row],[Am.Englisch]],";","&lt;/word&gt;&lt;word&gt;")&amp;"&lt;/word&gt;&lt;/solution&gt;&lt;/solutions&gt;","")</f>
        <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2794</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&lt;solutions&gt;&lt;solution&gt;&lt;tongue&gt;de&lt;/tongue&gt;&lt;word&gt;Vulkan&lt;/word&gt;&lt;/solution&gt;&lt;solution&gt;&lt;tongue&gt;en&lt;/tongue&gt;&lt;word&gt;volcano&lt;/word&gt;&lt;/solution&gt;&lt;/solutions&gt;</v>
      </c>
      <c r="C254" t="str">
        <f>IF(ISTEXT(Tabelle1[[#This Row],[Am.Englisch]]),"&lt;solutions&gt;&lt;solution&gt;&lt;tongue&gt;en-us&lt;/tongue&gt;&lt;word&gt;"&amp;SUBSTITUTE(Tabelle1[[#This Row],[Am.Englisch]],";","&lt;/word&gt;&lt;word&gt;")&amp;"&lt;/word&gt;&lt;/solution&gt;&lt;/solutions&gt;","")</f>
        <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2795</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&lt;solutions&gt;&lt;solution&gt;&lt;tongue&gt;de&lt;/tongue&gt;&lt;word&gt;Waage&lt;/word&gt;&lt;/solution&gt;&lt;solution&gt;&lt;tongue&gt;en&lt;/tongue&gt;&lt;word&gt;scales&lt;/word&gt;&lt;/solution&gt;&lt;/solutions&gt;</v>
      </c>
      <c r="C255" t="str">
        <f>IF(ISTEXT(Tabelle1[[#This Row],[Am.Englisch]]),"&lt;solutions&gt;&lt;solution&gt;&lt;tongue&gt;en-us&lt;/tongue&gt;&lt;word&gt;"&amp;SUBSTITUTE(Tabelle1[[#This Row],[Am.Englisch]],";","&lt;/word&gt;&lt;word&gt;")&amp;"&lt;/word&gt;&lt;/solution&gt;&lt;/solutions&gt;","")</f>
        <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2796</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&lt;solutions&gt;&lt;solution&gt;&lt;tongue&gt;de&lt;/tongue&gt;&lt;word&gt;Wabe&lt;/word&gt;&lt;/solution&gt;&lt;solution&gt;&lt;tongue&gt;en&lt;/tongue&gt;&lt;word&gt;comb&lt;/word&gt;&lt;/solution&gt;&lt;/solutions&gt;</v>
      </c>
      <c r="C256" t="str">
        <f>IF(ISTEXT(Tabelle1[[#This Row],[Am.Englisch]]),"&lt;solutions&gt;&lt;solution&gt;&lt;tongue&gt;en-us&lt;/tongue&gt;&lt;word&gt;"&amp;SUBSTITUTE(Tabelle1[[#This Row],[Am.Englisch]],";","&lt;/word&gt;&lt;word&gt;")&amp;"&lt;/word&gt;&lt;/solution&gt;&lt;/solutions&gt;","")</f>
        <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2797</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&lt;solutions&gt;&lt;solution&gt;&lt;tongue&gt;de&lt;/tongue&gt;&lt;word&gt;Waffen&lt;/word&gt;&lt;/solution&gt;&lt;solution&gt;&lt;tongue&gt;en&lt;/tongue&gt;&lt;word&gt;weapons&lt;/word&gt;&lt;/solution&gt;&lt;/solutions&gt;</v>
      </c>
      <c r="C257" t="str">
        <f>IF(ISTEXT(Tabelle1[[#This Row],[Am.Englisch]]),"&lt;solutions&gt;&lt;solution&gt;&lt;tongue&gt;en-us&lt;/tongue&gt;&lt;word&gt;"&amp;SUBSTITUTE(Tabelle1[[#This Row],[Am.Englisch]],";","&lt;/word&gt;&lt;word&gt;")&amp;"&lt;/word&gt;&lt;/solution&gt;&lt;/solutions&gt;","")</f>
        <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2798</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&lt;solutions&gt;&lt;solution&gt;&lt;tongue&gt;de&lt;/tongue&gt;&lt;word&gt;Walnuss&lt;/word&gt;&lt;/solution&gt;&lt;solution&gt;&lt;tongue&gt;en&lt;/tongue&gt;&lt;word&gt;walnut&lt;/word&gt;&lt;/solution&gt;&lt;/solutions&gt;</v>
      </c>
      <c r="C258" t="str">
        <f>IF(ISTEXT(Tabelle1[[#This Row],[Am.Englisch]]),"&lt;solutions&gt;&lt;solution&gt;&lt;tongue&gt;en-us&lt;/tongue&gt;&lt;word&gt;"&amp;SUBSTITUTE(Tabelle1[[#This Row],[Am.Englisch]],";","&lt;/word&gt;&lt;word&gt;")&amp;"&lt;/word&gt;&lt;/solution&gt;&lt;/solutions&gt;","")</f>
        <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2799</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&lt;solutions&gt;&lt;solution&gt;&lt;tongue&gt;de&lt;/tongue&gt;&lt;word&gt;Warnung&lt;/word&gt;&lt;/solution&gt;&lt;solution&gt;&lt;tongue&gt;en&lt;/tongue&gt;&lt;word&gt;warning&lt;/word&gt;&lt;/solution&gt;&lt;/solutions&gt;</v>
      </c>
      <c r="C259" t="str">
        <f>IF(ISTEXT(Tabelle1[[#This Row],[Am.Englisch]]),"&lt;solutions&gt;&lt;solution&gt;&lt;tongue&gt;en-us&lt;/tongue&gt;&lt;word&gt;"&amp;SUBSTITUTE(Tabelle1[[#This Row],[Am.Englisch]],";","&lt;/word&gt;&lt;word&gt;")&amp;"&lt;/word&gt;&lt;/solution&gt;&lt;/solutions&gt;","")</f>
        <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2800</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&lt;solutions&gt;&lt;solution&gt;&lt;tongue&gt;de&lt;/tongue&gt;&lt;word&gt;Wasserball&lt;/word&gt;&lt;/solution&gt;&lt;solution&gt;&lt;tongue&gt;en&lt;/tongue&gt;&lt;word&gt;waterball&lt;/word&gt;&lt;/solution&gt;&lt;/solutions&gt;</v>
      </c>
      <c r="C260" t="str">
        <f>IF(ISTEXT(Tabelle1[[#This Row],[Am.Englisch]]),"&lt;solutions&gt;&lt;solution&gt;&lt;tongue&gt;en-us&lt;/tongue&gt;&lt;word&gt;"&amp;SUBSTITUTE(Tabelle1[[#This Row],[Am.Englisch]],";","&lt;/word&gt;&lt;word&gt;")&amp;"&lt;/word&gt;&lt;/solution&gt;&lt;/solutions&gt;","")</f>
        <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2801</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&lt;solutions&gt;&lt;solution&gt;&lt;tongue&gt;de&lt;/tongue&gt;&lt;word&gt;Wasserfall&lt;/word&gt;&lt;/solution&gt;&lt;solution&gt;&lt;tongue&gt;en&lt;/tongue&gt;&lt;word&gt;waterfall&lt;/word&gt;&lt;/solution&gt;&lt;/solutions&gt;</v>
      </c>
      <c r="C261" t="str">
        <f>IF(ISTEXT(Tabelle1[[#This Row],[Am.Englisch]]),"&lt;solutions&gt;&lt;solution&gt;&lt;tongue&gt;en-us&lt;/tongue&gt;&lt;word&gt;"&amp;SUBSTITUTE(Tabelle1[[#This Row],[Am.Englisch]],";","&lt;/word&gt;&lt;word&gt;")&amp;"&lt;/word&gt;&lt;/solution&gt;&lt;/solutions&gt;","")</f>
        <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2802</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&lt;solutions&gt;&lt;solution&gt;&lt;tongue&gt;de&lt;/tongue&gt;&lt;word&gt;Wassertropfen&lt;/word&gt;&lt;/solution&gt;&lt;solution&gt;&lt;tongue&gt;en&lt;/tongue&gt;&lt;word&gt;waterdrop&lt;/word&gt;&lt;/solution&gt;&lt;/solutions&gt;</v>
      </c>
      <c r="C262" t="str">
        <f>IF(ISTEXT(Tabelle1[[#This Row],[Am.Englisch]]),"&lt;solutions&gt;&lt;solution&gt;&lt;tongue&gt;en-us&lt;/tongue&gt;&lt;word&gt;"&amp;SUBSTITUTE(Tabelle1[[#This Row],[Am.Englisch]],";","&lt;/word&gt;&lt;word&gt;")&amp;"&lt;/word&gt;&lt;/solution&gt;&lt;/solutions&gt;","")</f>
        <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2803</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&lt;solutions&gt;&lt;solution&gt;&lt;tongue&gt;de&lt;/tongue&gt;&lt;word&gt;Weihnachtsbaum&lt;/word&gt;&lt;/solution&gt;&lt;solution&gt;&lt;tongue&gt;en&lt;/tongue&gt;&lt;word&gt;christmastree&lt;/word&gt;&lt;/solution&gt;&lt;/solutions&gt;</v>
      </c>
      <c r="C263" t="str">
        <f>IF(ISTEXT(Tabelle1[[#This Row],[Am.Englisch]]),"&lt;solutions&gt;&lt;solution&gt;&lt;tongue&gt;en-us&lt;/tongue&gt;&lt;word&gt;"&amp;SUBSTITUTE(Tabelle1[[#This Row],[Am.Englisch]],";","&lt;/word&gt;&lt;word&gt;")&amp;"&lt;/word&gt;&lt;/solution&gt;&lt;/solutions&gt;","")</f>
        <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2804</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&lt;solutions&gt;&lt;solution&gt;&lt;tongue&gt;de&lt;/tongue&gt;&lt;word&gt;Wind&lt;/word&gt;&lt;/solution&gt;&lt;solution&gt;&lt;tongue&gt;en&lt;/tongue&gt;&lt;word&gt;wind&lt;/word&gt;&lt;/solution&gt;&lt;/solutions&gt;</v>
      </c>
      <c r="C264" t="str">
        <f>IF(ISTEXT(Tabelle1[[#This Row],[Am.Englisch]]),"&lt;solutions&gt;&lt;solution&gt;&lt;tongue&gt;en-us&lt;/tongue&gt;&lt;word&gt;"&amp;SUBSTITUTE(Tabelle1[[#This Row],[Am.Englisch]],";","&lt;/word&gt;&lt;word&gt;")&amp;"&lt;/word&gt;&lt;/solution&gt;&lt;/solutions&gt;","")</f>
        <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2805</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&lt;solutions&gt;&lt;solution&gt;&lt;tongue&gt;de&lt;/tongue&gt;&lt;word&gt;Windmühle&lt;/word&gt;&lt;/solution&gt;&lt;solution&gt;&lt;tongue&gt;en&lt;/tongue&gt;&lt;word&gt;windmill&lt;/word&gt;&lt;/solution&gt;&lt;/solutions&gt;</v>
      </c>
      <c r="C265" t="str">
        <f>IF(ISTEXT(Tabelle1[[#This Row],[Am.Englisch]]),"&lt;solutions&gt;&lt;solution&gt;&lt;tongue&gt;en-us&lt;/tongue&gt;&lt;word&gt;"&amp;SUBSTITUTE(Tabelle1[[#This Row],[Am.Englisch]],";","&lt;/word&gt;&lt;word&gt;")&amp;"&lt;/word&gt;&lt;/solution&gt;&lt;/solutions&gt;","")</f>
        <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2806</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&lt;solutions&gt;&lt;solution&gt;&lt;tongue&gt;de&lt;/tongue&gt;&lt;word&gt;Wolke&lt;/word&gt;&lt;/solution&gt;&lt;solution&gt;&lt;tongue&gt;en&lt;/tongue&gt;&lt;word&gt;cloud&lt;/word&gt;&lt;/solution&gt;&lt;/solutions&gt;</v>
      </c>
      <c r="C266" t="str">
        <f>IF(ISTEXT(Tabelle1[[#This Row],[Am.Englisch]]),"&lt;solutions&gt;&lt;solution&gt;&lt;tongue&gt;en-us&lt;/tongue&gt;&lt;word&gt;"&amp;SUBSTITUTE(Tabelle1[[#This Row],[Am.Englisch]],";","&lt;/word&gt;&lt;word&gt;")&amp;"&lt;/word&gt;&lt;/solution&gt;&lt;/solutions&gt;","")</f>
        <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2807</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&lt;solutions&gt;&lt;solution&gt;&lt;tongue&gt;de&lt;/tongue&gt;&lt;word&gt;Würfel&lt;/word&gt;&lt;/solution&gt;&lt;solution&gt;&lt;tongue&gt;en&lt;/tongue&gt;&lt;word&gt;dice&lt;/word&gt;&lt;/solution&gt;&lt;/solutions&gt;</v>
      </c>
      <c r="C267" t="str">
        <f>IF(ISTEXT(Tabelle1[[#This Row],[Am.Englisch]]),"&lt;solutions&gt;&lt;solution&gt;&lt;tongue&gt;en-us&lt;/tongue&gt;&lt;word&gt;"&amp;SUBSTITUTE(Tabelle1[[#This Row],[Am.Englisch]],";","&lt;/word&gt;&lt;word&gt;")&amp;"&lt;/word&gt;&lt;/solution&gt;&lt;/solutions&gt;","")</f>
        <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2808</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&lt;solutions&gt;&lt;solution&gt;&lt;tongue&gt;de&lt;/tongue&gt;&lt;word&gt;Wüste&lt;/word&gt;&lt;/solution&gt;&lt;solution&gt;&lt;tongue&gt;en&lt;/tongue&gt;&lt;word&gt;desert&lt;/word&gt;&lt;/solution&gt;&lt;/solutions&gt;</v>
      </c>
      <c r="C268" t="str">
        <f>IF(ISTEXT(Tabelle1[[#This Row],[Am.Englisch]]),"&lt;solutions&gt;&lt;solution&gt;&lt;tongue&gt;en-us&lt;/tongue&gt;&lt;word&gt;"&amp;SUBSTITUTE(Tabelle1[[#This Row],[Am.Englisch]],";","&lt;/word&gt;&lt;word&gt;")&amp;"&lt;/word&gt;&lt;/solution&gt;&lt;/solutions&gt;","")</f>
        <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2809</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&lt;solutions&gt;&lt;solution&gt;&lt;tongue&gt;de&lt;/tongue&gt;&lt;word&gt;Wurm&lt;/word&gt;&lt;/solution&gt;&lt;solution&gt;&lt;tongue&gt;en&lt;/tongue&gt;&lt;word&gt;worm&lt;/word&gt;&lt;/solution&gt;&lt;/solutions&gt;</v>
      </c>
      <c r="C269" t="str">
        <f>IF(ISTEXT(Tabelle1[[#This Row],[Am.Englisch]]),"&lt;solutions&gt;&lt;solution&gt;&lt;tongue&gt;en-us&lt;/tongue&gt;&lt;word&gt;"&amp;SUBSTITUTE(Tabelle1[[#This Row],[Am.Englisch]],";","&lt;/word&gt;&lt;word&gt;")&amp;"&lt;/word&gt;&lt;/solution&gt;&lt;/solutions&gt;","")</f>
        <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2810</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&lt;solutions&gt;&lt;solution&gt;&lt;tongue&gt;de&lt;/tongue&gt;&lt;word&gt;Yak&lt;/word&gt;&lt;/solution&gt;&lt;solution&gt;&lt;tongue&gt;en&lt;/tongue&gt;&lt;word&gt;yak&lt;/word&gt;&lt;/solution&gt;&lt;/solutions&gt;</v>
      </c>
      <c r="C270" t="str">
        <f>IF(ISTEXT(Tabelle1[[#This Row],[Am.Englisch]]),"&lt;solutions&gt;&lt;solution&gt;&lt;tongue&gt;en-us&lt;/tongue&gt;&lt;word&gt;"&amp;SUBSTITUTE(Tabelle1[[#This Row],[Am.Englisch]],";","&lt;/word&gt;&lt;word&gt;")&amp;"&lt;/word&gt;&lt;/solution&gt;&lt;/solutions&gt;","")</f>
        <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2811</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&lt;solutions&gt;&lt;solution&gt;&lt;tongue&gt;de&lt;/tongue&gt;&lt;word&gt;Yinyang&lt;/word&gt;&lt;/solution&gt;&lt;solution&gt;&lt;tongue&gt;en&lt;/tongue&gt;&lt;word&gt;yinyang&lt;/word&gt;&lt;/solution&gt;&lt;/solutions&gt;</v>
      </c>
      <c r="C271" t="str">
        <f>IF(ISTEXT(Tabelle1[[#This Row],[Am.Englisch]]),"&lt;solutions&gt;&lt;solution&gt;&lt;tongue&gt;en-us&lt;/tongue&gt;&lt;word&gt;"&amp;SUBSTITUTE(Tabelle1[[#This Row],[Am.Englisch]],";","&lt;/word&gt;&lt;word&gt;")&amp;"&lt;/word&gt;&lt;/solution&gt;&lt;/solutions&gt;","")</f>
        <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2812</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&lt;solutions&gt;&lt;solution&gt;&lt;tongue&gt;de&lt;/tongue&gt;&lt;word&gt;Zahl&lt;/word&gt;&lt;/solution&gt;&lt;solution&gt;&lt;tongue&gt;en&lt;/tongue&gt;&lt;word&gt;number&lt;/word&gt;&lt;/solution&gt;&lt;/solutions&gt;</v>
      </c>
      <c r="C272" t="str">
        <f>IF(ISTEXT(Tabelle1[[#This Row],[Am.Englisch]]),"&lt;solutions&gt;&lt;solution&gt;&lt;tongue&gt;en-us&lt;/tongue&gt;&lt;word&gt;"&amp;SUBSTITUTE(Tabelle1[[#This Row],[Am.Englisch]],";","&lt;/word&gt;&lt;word&gt;")&amp;"&lt;/word&gt;&lt;/solution&gt;&lt;/solutions&gt;","")</f>
        <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2813</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&lt;solutions&gt;&lt;solution&gt;&lt;tongue&gt;de&lt;/tongue&gt;&lt;word&gt;Zahn&lt;/word&gt;&lt;/solution&gt;&lt;solution&gt;&lt;tongue&gt;en&lt;/tongue&gt;&lt;word&gt;tooth&lt;/word&gt;&lt;/solution&gt;&lt;/solutions&gt;</v>
      </c>
      <c r="C273" t="str">
        <f>IF(ISTEXT(Tabelle1[[#This Row],[Am.Englisch]]),"&lt;solutions&gt;&lt;solution&gt;&lt;tongue&gt;en-us&lt;/tongue&gt;&lt;word&gt;"&amp;SUBSTITUTE(Tabelle1[[#This Row],[Am.Englisch]],";","&lt;/word&gt;&lt;word&gt;")&amp;"&lt;/word&gt;&lt;/solution&gt;&lt;/solutions&gt;","")</f>
        <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2814</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&lt;solutions&gt;&lt;solution&gt;&lt;tongue&gt;de&lt;/tongue&gt;&lt;word&gt;Zahnbürste&lt;/word&gt;&lt;/solution&gt;&lt;solution&gt;&lt;tongue&gt;en&lt;/tongue&gt;&lt;word&gt;toothbrush&lt;/word&gt;&lt;/solution&gt;&lt;/solutions&gt;</v>
      </c>
      <c r="C274" t="str">
        <f>IF(ISTEXT(Tabelle1[[#This Row],[Am.Englisch]]),"&lt;solutions&gt;&lt;solution&gt;&lt;tongue&gt;en-us&lt;/tongue&gt;&lt;word&gt;"&amp;SUBSTITUTE(Tabelle1[[#This Row],[Am.Englisch]],";","&lt;/word&gt;&lt;word&gt;")&amp;"&lt;/word&gt;&lt;/solution&gt;&lt;/solutions&gt;","")</f>
        <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2815</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&lt;solutions&gt;&lt;solution&gt;&lt;tongue&gt;de&lt;/tongue&gt;&lt;word&gt;Zaun&lt;/word&gt;&lt;/solution&gt;&lt;solution&gt;&lt;tongue&gt;en&lt;/tongue&gt;&lt;word&gt;fence&lt;/word&gt;&lt;/solution&gt;&lt;/solutions&gt;</v>
      </c>
      <c r="C275" t="str">
        <f>IF(ISTEXT(Tabelle1[[#This Row],[Am.Englisch]]),"&lt;solutions&gt;&lt;solution&gt;&lt;tongue&gt;en-us&lt;/tongue&gt;&lt;word&gt;"&amp;SUBSTITUTE(Tabelle1[[#This Row],[Am.Englisch]],";","&lt;/word&gt;&lt;word&gt;")&amp;"&lt;/word&gt;&lt;/solution&gt;&lt;/solutions&gt;","")</f>
        <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2816</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&lt;solutions&gt;&lt;solution&gt;&lt;tongue&gt;de&lt;/tongue&gt;&lt;word&gt;Zelt&lt;/word&gt;&lt;/solution&gt;&lt;solution&gt;&lt;tongue&gt;en&lt;/tongue&gt;&lt;word&gt;tent&lt;/word&gt;&lt;/solution&gt;&lt;/solutions&gt;</v>
      </c>
      <c r="C276" t="str">
        <f>IF(ISTEXT(Tabelle1[[#This Row],[Am.Englisch]]),"&lt;solutions&gt;&lt;solution&gt;&lt;tongue&gt;en-us&lt;/tongue&gt;&lt;word&gt;"&amp;SUBSTITUTE(Tabelle1[[#This Row],[Am.Englisch]],";","&lt;/word&gt;&lt;word&gt;")&amp;"&lt;/word&gt;&lt;/solution&gt;&lt;/solutions&gt;","")</f>
        <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2817</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&lt;solutions&gt;&lt;solution&gt;&lt;tongue&gt;de&lt;/tongue&gt;&lt;word&gt;Zeppelin&lt;/word&gt;&lt;/solution&gt;&lt;solution&gt;&lt;tongue&gt;en&lt;/tongue&gt;&lt;word&gt;zeppelin&lt;/word&gt;&lt;/solution&gt;&lt;/solutions&gt;</v>
      </c>
      <c r="C277" t="str">
        <f>IF(ISTEXT(Tabelle1[[#This Row],[Am.Englisch]]),"&lt;solutions&gt;&lt;solution&gt;&lt;tongue&gt;en-us&lt;/tongue&gt;&lt;word&gt;"&amp;SUBSTITUTE(Tabelle1[[#This Row],[Am.Englisch]],";","&lt;/word&gt;&lt;word&gt;")&amp;"&lt;/word&gt;&lt;/solution&gt;&lt;/solutions&gt;","")</f>
        <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2818</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&lt;solutions&gt;&lt;solution&gt;&lt;tongue&gt;de&lt;/tongue&gt;&lt;word&gt;Zielscheibe&lt;/word&gt;&lt;/solution&gt;&lt;solution&gt;&lt;tongue&gt;en&lt;/tongue&gt;&lt;word&gt;target&lt;/word&gt;&lt;/solution&gt;&lt;/solutions&gt;</v>
      </c>
      <c r="C278" t="str">
        <f>IF(ISTEXT(Tabelle1[[#This Row],[Am.Englisch]]),"&lt;solutions&gt;&lt;solution&gt;&lt;tongue&gt;en-us&lt;/tongue&gt;&lt;word&gt;"&amp;SUBSTITUTE(Tabelle1[[#This Row],[Am.Englisch]],";","&lt;/word&gt;&lt;word&gt;")&amp;"&lt;/word&gt;&lt;/solution&gt;&lt;/solutions&gt;","")</f>
        <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2819</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&lt;solutions&gt;&lt;solution&gt;&lt;tongue&gt;de&lt;/tongue&gt;&lt;word&gt;Raumschiff&lt;/word&gt;&lt;/solution&gt;&lt;solution&gt;&lt;tongue&gt;en&lt;/tongue&gt;&lt;word&gt;spacecraft&lt;/word&gt;&lt;/solution&gt;&lt;/solutions&gt;</v>
      </c>
      <c r="C279" t="str">
        <f>IF(ISTEXT(Tabelle1[[#This Row],[Am.Englisch]]),"&lt;solutions&gt;&lt;solution&gt;&lt;tongue&gt;en-us&lt;/tongue&gt;&lt;word&gt;"&amp;SUBSTITUTE(Tabelle1[[#This Row],[Am.Englisch]],";","&lt;/word&gt;&lt;word&gt;")&amp;"&lt;/word&gt;&lt;/solution&gt;&lt;/solutions&gt;","")</f>
        <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2820</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0" t="str">
        <f>IF(ISTEXT(Tabelle1[[#This Row],[Am.Englisch]]),"&lt;solutions&gt;&lt;solution&gt;&lt;tongue&gt;en-us&lt;/tongue&gt;&lt;word&gt;"&amp;SUBSTITUTE(Tabelle1[[#This Row],[Am.Englisch]],";","&lt;/word&gt;&lt;word&gt;")&amp;"&lt;/word&gt;&lt;/solution&gt;&lt;/solutions&gt;","")</f>
        <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1" t="str">
        <f>IF(ISTEXT(Tabelle1[[#This Row],[Am.Englisch]]),"&lt;solutions&gt;&lt;solution&gt;&lt;tongue&gt;en-us&lt;/tongue&gt;&lt;word&gt;"&amp;SUBSTITUTE(Tabelle1[[#This Row],[Am.Englisch]],";","&lt;/word&gt;&lt;word&gt;")&amp;"&lt;/word&gt;&lt;/solution&gt;&lt;/solutions&gt;","")</f>
        <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2" t="str">
        <f>IF(ISTEXT(Tabelle1[[#This Row],[Am.Englisch]]),"&lt;solutions&gt;&lt;solution&gt;&lt;tongue&gt;en-us&lt;/tongue&gt;&lt;word&gt;"&amp;SUBSTITUTE(Tabelle1[[#This Row],[Am.Englisch]],";","&lt;/word&gt;&lt;word&gt;")&amp;"&lt;/word&gt;&lt;/solution&gt;&lt;/solutions&gt;","")</f>
        <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3" t="str">
        <f>IF(ISTEXT(Tabelle1[[#This Row],[Am.Englisch]]),"&lt;solutions&gt;&lt;solution&gt;&lt;tongue&gt;en-us&lt;/tongue&gt;&lt;word&gt;"&amp;SUBSTITUTE(Tabelle1[[#This Row],[Am.Englisch]],";","&lt;/word&gt;&lt;word&gt;")&amp;"&lt;/word&gt;&lt;/solution&gt;&lt;/solutions&gt;","")</f>
        <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4" t="str">
        <f>IF(ISTEXT(Tabelle1[[#This Row],[Am.Englisch]]),"&lt;solutions&gt;&lt;solution&gt;&lt;tongue&gt;en-us&lt;/tongue&gt;&lt;word&gt;"&amp;SUBSTITUTE(Tabelle1[[#This Row],[Am.Englisch]],";","&lt;/word&gt;&lt;word&gt;")&amp;"&lt;/word&gt;&lt;/solution&gt;&lt;/solutions&gt;","")</f>
        <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5" t="str">
        <f>IF(ISTEXT(Tabelle1[[#This Row],[Am.Englisch]]),"&lt;solutions&gt;&lt;solution&gt;&lt;tongue&gt;en-us&lt;/tongue&gt;&lt;word&gt;"&amp;SUBSTITUTE(Tabelle1[[#This Row],[Am.Englisch]],";","&lt;/word&gt;&lt;word&gt;")&amp;"&lt;/word&gt;&lt;/solution&gt;&lt;/solutions&gt;","")</f>
        <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6" t="str">
        <f>IF(ISTEXT(Tabelle1[[#This Row],[Am.Englisch]]),"&lt;solutions&gt;&lt;solution&gt;&lt;tongue&gt;en-us&lt;/tongue&gt;&lt;word&gt;"&amp;SUBSTITUTE(Tabelle1[[#This Row],[Am.Englisch]],";","&lt;/word&gt;&lt;word&gt;")&amp;"&lt;/word&gt;&lt;/solution&gt;&lt;/solutions&gt;","")</f>
        <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7" t="str">
        <f>IF(ISTEXT(Tabelle1[[#This Row],[Am.Englisch]]),"&lt;solutions&gt;&lt;solution&gt;&lt;tongue&gt;en-us&lt;/tongue&gt;&lt;word&gt;"&amp;SUBSTITUTE(Tabelle1[[#This Row],[Am.Englisch]],";","&lt;/word&gt;&lt;word&gt;")&amp;"&lt;/word&gt;&lt;/solution&gt;&lt;/solutions&gt;","")</f>
        <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8" t="str">
        <f>IF(ISTEXT(Tabelle1[[#This Row],[Am.Englisch]]),"&lt;solutions&gt;&lt;solution&gt;&lt;tongue&gt;en-us&lt;/tongue&gt;&lt;word&gt;"&amp;SUBSTITUTE(Tabelle1[[#This Row],[Am.Englisch]],";","&lt;/word&gt;&lt;word&gt;")&amp;"&lt;/word&gt;&lt;/solution&gt;&lt;/solutions&gt;","")</f>
        <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9" t="str">
        <f>IF(ISTEXT(Tabelle1[[#This Row],[Am.Englisch]]),"&lt;solutions&gt;&lt;solution&gt;&lt;tongue&gt;en-us&lt;/tongue&gt;&lt;word&gt;"&amp;SUBSTITUTE(Tabelle1[[#This Row],[Am.Englisch]],";","&lt;/word&gt;&lt;word&gt;")&amp;"&lt;/word&gt;&lt;/solution&gt;&lt;/solutions&gt;","")</f>
        <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0" t="str">
        <f>IF(ISTEXT(Tabelle1[[#This Row],[Am.Englisch]]),"&lt;solutions&gt;&lt;solution&gt;&lt;tongue&gt;en-us&lt;/tongue&gt;&lt;word&gt;"&amp;SUBSTITUTE(Tabelle1[[#This Row],[Am.Englisch]],";","&lt;/word&gt;&lt;word&gt;")&amp;"&lt;/word&gt;&lt;/solution&gt;&lt;/solutions&gt;","")</f>
        <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1" t="str">
        <f>IF(ISTEXT(Tabelle1[[#This Row],[Am.Englisch]]),"&lt;solutions&gt;&lt;solution&gt;&lt;tongue&gt;en-us&lt;/tongue&gt;&lt;word&gt;"&amp;SUBSTITUTE(Tabelle1[[#This Row],[Am.Englisch]],";","&lt;/word&gt;&lt;word&gt;")&amp;"&lt;/word&gt;&lt;/solution&gt;&lt;/solutions&gt;","")</f>
        <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2" t="str">
        <f>IF(ISTEXT(Tabelle1[[#This Row],[Am.Englisch]]),"&lt;solutions&gt;&lt;solution&gt;&lt;tongue&gt;en-us&lt;/tongue&gt;&lt;word&gt;"&amp;SUBSTITUTE(Tabelle1[[#This Row],[Am.Englisch]],";","&lt;/word&gt;&lt;word&gt;")&amp;"&lt;/word&gt;&lt;/solution&gt;&lt;/solutions&gt;","")</f>
        <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3" t="str">
        <f>IF(ISTEXT(Tabelle1[[#This Row],[Am.Englisch]]),"&lt;solutions&gt;&lt;solution&gt;&lt;tongue&gt;en-us&lt;/tongue&gt;&lt;word&gt;"&amp;SUBSTITUTE(Tabelle1[[#This Row],[Am.Englisch]],";","&lt;/word&gt;&lt;word&gt;")&amp;"&lt;/word&gt;&lt;/solution&gt;&lt;/solutions&gt;","")</f>
        <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4" t="str">
        <f>IF(ISTEXT(Tabelle1[[#This Row],[Am.Englisch]]),"&lt;solutions&gt;&lt;solution&gt;&lt;tongue&gt;en-us&lt;/tongue&gt;&lt;word&gt;"&amp;SUBSTITUTE(Tabelle1[[#This Row],[Am.Englisch]],";","&lt;/word&gt;&lt;word&gt;")&amp;"&lt;/word&gt;&lt;/solution&gt;&lt;/solutions&gt;","")</f>
        <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5" t="str">
        <f>IF(ISTEXT(Tabelle1[[#This Row],[Am.Englisch]]),"&lt;solutions&gt;&lt;solution&gt;&lt;tongue&gt;en-us&lt;/tongue&gt;&lt;word&gt;"&amp;SUBSTITUTE(Tabelle1[[#This Row],[Am.Englisch]],";","&lt;/word&gt;&lt;word&gt;")&amp;"&lt;/word&gt;&lt;/solution&gt;&lt;/solutions&gt;","")</f>
        <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6" t="str">
        <f>IF(ISTEXT(Tabelle1[[#This Row],[Am.Englisch]]),"&lt;solutions&gt;&lt;solution&gt;&lt;tongue&gt;en-us&lt;/tongue&gt;&lt;word&gt;"&amp;SUBSTITUTE(Tabelle1[[#This Row],[Am.Englisch]],";","&lt;/word&gt;&lt;word&gt;")&amp;"&lt;/word&gt;&lt;/solution&gt;&lt;/solutions&gt;","")</f>
        <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7" t="str">
        <f>IF(ISTEXT(Tabelle1[[#This Row],[Am.Englisch]]),"&lt;solutions&gt;&lt;solution&gt;&lt;tongue&gt;en-us&lt;/tongue&gt;&lt;word&gt;"&amp;SUBSTITUTE(Tabelle1[[#This Row],[Am.Englisch]],";","&lt;/word&gt;&lt;word&gt;")&amp;"&lt;/word&gt;&lt;/solution&gt;&lt;/solutions&gt;","")</f>
        <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8" t="str">
        <f>IF(ISTEXT(Tabelle1[[#This Row],[Am.Englisch]]),"&lt;solutions&gt;&lt;solution&gt;&lt;tongue&gt;en-us&lt;/tongue&gt;&lt;word&gt;"&amp;SUBSTITUTE(Tabelle1[[#This Row],[Am.Englisch]],";","&lt;/word&gt;&lt;word&gt;")&amp;"&lt;/word&gt;&lt;/solution&gt;&lt;/solutions&gt;","")</f>
        <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9" t="str">
        <f>IF(ISTEXT(Tabelle1[[#This Row],[Am.Englisch]]),"&lt;solutions&gt;&lt;solution&gt;&lt;tongue&gt;en-us&lt;/tongue&gt;&lt;word&gt;"&amp;SUBSTITUTE(Tabelle1[[#This Row],[Am.Englisch]],";","&lt;/word&gt;&lt;word&gt;")&amp;"&lt;/word&gt;&lt;/solution&gt;&lt;/solutions&gt;","")</f>
        <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0" t="str">
        <f>IF(ISTEXT(Tabelle1[[#This Row],[Am.Englisch]]),"&lt;solutions&gt;&lt;solution&gt;&lt;tongue&gt;en-us&lt;/tongue&gt;&lt;word&gt;"&amp;SUBSTITUTE(Tabelle1[[#This Row],[Am.Englisch]],";","&lt;/word&gt;&lt;word&gt;")&amp;"&lt;/word&gt;&lt;/solution&gt;&lt;/solutions&gt;","")</f>
        <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1" t="str">
        <f>IF(ISTEXT(Tabelle1[[#This Row],[Am.Englisch]]),"&lt;solutions&gt;&lt;solution&gt;&lt;tongue&gt;en-us&lt;/tongue&gt;&lt;word&gt;"&amp;SUBSTITUTE(Tabelle1[[#This Row],[Am.Englisch]],";","&lt;/word&gt;&lt;word&gt;")&amp;"&lt;/word&gt;&lt;/solution&gt;&lt;/solutions&gt;","")</f>
        <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2" t="str">
        <f>IF(ISTEXT(Tabelle1[[#This Row],[Am.Englisch]]),"&lt;solutions&gt;&lt;solution&gt;&lt;tongue&gt;en-us&lt;/tongue&gt;&lt;word&gt;"&amp;SUBSTITUTE(Tabelle1[[#This Row],[Am.Englisch]],";","&lt;/word&gt;&lt;word&gt;")&amp;"&lt;/word&gt;&lt;/solution&gt;&lt;/solutions&gt;","")</f>
        <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3" t="str">
        <f>IF(ISTEXT(Tabelle1[[#This Row],[Am.Englisch]]),"&lt;solutions&gt;&lt;solution&gt;&lt;tongue&gt;en-us&lt;/tongue&gt;&lt;word&gt;"&amp;SUBSTITUTE(Tabelle1[[#This Row],[Am.Englisch]],";","&lt;/word&gt;&lt;word&gt;")&amp;"&lt;/word&gt;&lt;/solution&gt;&lt;/solutions&gt;","")</f>
        <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4" t="str">
        <f>IF(ISTEXT(Tabelle1[[#This Row],[Am.Englisch]]),"&lt;solutions&gt;&lt;solution&gt;&lt;tongue&gt;en-us&lt;/tongue&gt;&lt;word&gt;"&amp;SUBSTITUTE(Tabelle1[[#This Row],[Am.Englisch]],";","&lt;/word&gt;&lt;word&gt;")&amp;"&lt;/word&gt;&lt;/solution&gt;&lt;/solutions&gt;","")</f>
        <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5" t="str">
        <f>IF(ISTEXT(Tabelle1[[#This Row],[Am.Englisch]]),"&lt;solutions&gt;&lt;solution&gt;&lt;tongue&gt;en-us&lt;/tongue&gt;&lt;word&gt;"&amp;SUBSTITUTE(Tabelle1[[#This Row],[Am.Englisch]],";","&lt;/word&gt;&lt;word&gt;")&amp;"&lt;/word&gt;&lt;/solution&gt;&lt;/solutions&gt;","")</f>
        <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6" t="str">
        <f>IF(ISTEXT(Tabelle1[[#This Row],[Am.Englisch]]),"&lt;solutions&gt;&lt;solution&gt;&lt;tongue&gt;en-us&lt;/tongue&gt;&lt;word&gt;"&amp;SUBSTITUTE(Tabelle1[[#This Row],[Am.Englisch]],";","&lt;/word&gt;&lt;word&gt;")&amp;"&lt;/word&gt;&lt;/solution&gt;&lt;/solutions&gt;","")</f>
        <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7" t="str">
        <f>IF(ISTEXT(Tabelle1[[#This Row],[Am.Englisch]]),"&lt;solutions&gt;&lt;solution&gt;&lt;tongue&gt;en-us&lt;/tongue&gt;&lt;word&gt;"&amp;SUBSTITUTE(Tabelle1[[#This Row],[Am.Englisch]],";","&lt;/word&gt;&lt;word&gt;")&amp;"&lt;/word&gt;&lt;/solution&gt;&lt;/solutions&gt;","")</f>
        <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8" t="str">
        <f>IF(ISTEXT(Tabelle1[[#This Row],[Am.Englisch]]),"&lt;solutions&gt;&lt;solution&gt;&lt;tongue&gt;en-us&lt;/tongue&gt;&lt;word&gt;"&amp;SUBSTITUTE(Tabelle1[[#This Row],[Am.Englisch]],";","&lt;/word&gt;&lt;word&gt;")&amp;"&lt;/word&gt;&lt;/solution&gt;&lt;/solutions&gt;","")</f>
        <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9" t="str">
        <f>IF(ISTEXT(Tabelle1[[#This Row],[Am.Englisch]]),"&lt;solutions&gt;&lt;solution&gt;&lt;tongue&gt;en-us&lt;/tongue&gt;&lt;word&gt;"&amp;SUBSTITUTE(Tabelle1[[#This Row],[Am.Englisch]],";","&lt;/word&gt;&lt;word&gt;")&amp;"&lt;/word&gt;&lt;/solution&gt;&lt;/solutions&gt;","")</f>
        <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0" t="str">
        <f>IF(ISTEXT(Tabelle1[[#This Row],[Am.Englisch]]),"&lt;solutions&gt;&lt;solution&gt;&lt;tongue&gt;en-us&lt;/tongue&gt;&lt;word&gt;"&amp;SUBSTITUTE(Tabelle1[[#This Row],[Am.Englisch]],";","&lt;/word&gt;&lt;word&gt;")&amp;"&lt;/word&gt;&lt;/solution&gt;&lt;/solutions&gt;","")</f>
        <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1" t="str">
        <f>IF(ISTEXT(Tabelle1[[#This Row],[Am.Englisch]]),"&lt;solutions&gt;&lt;solution&gt;&lt;tongue&gt;en-us&lt;/tongue&gt;&lt;word&gt;"&amp;SUBSTITUTE(Tabelle1[[#This Row],[Am.Englisch]],";","&lt;/word&gt;&lt;word&gt;")&amp;"&lt;/word&gt;&lt;/solution&gt;&lt;/solutions&gt;","")</f>
        <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2" t="str">
        <f>IF(ISTEXT(Tabelle1[[#This Row],[Am.Englisch]]),"&lt;solutions&gt;&lt;solution&gt;&lt;tongue&gt;en-us&lt;/tongue&gt;&lt;word&gt;"&amp;SUBSTITUTE(Tabelle1[[#This Row],[Am.Englisch]],";","&lt;/word&gt;&lt;word&gt;")&amp;"&lt;/word&gt;&lt;/solution&gt;&lt;/solutions&gt;","")</f>
        <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3" t="str">
        <f>IF(ISTEXT(Tabelle1[[#This Row],[Am.Englisch]]),"&lt;solutions&gt;&lt;solution&gt;&lt;tongue&gt;en-us&lt;/tongue&gt;&lt;word&gt;"&amp;SUBSTITUTE(Tabelle1[[#This Row],[Am.Englisch]],";","&lt;/word&gt;&lt;word&gt;")&amp;"&lt;/word&gt;&lt;/solution&gt;&lt;/solutions&gt;","")</f>
        <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4" t="str">
        <f>IF(ISTEXT(Tabelle1[[#This Row],[Am.Englisch]]),"&lt;solutions&gt;&lt;solution&gt;&lt;tongue&gt;en-us&lt;/tongue&gt;&lt;word&gt;"&amp;SUBSTITUTE(Tabelle1[[#This Row],[Am.Englisch]],";","&lt;/word&gt;&lt;word&gt;")&amp;"&lt;/word&gt;&lt;/solution&gt;&lt;/solutions&gt;","")</f>
        <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5" t="str">
        <f>IF(ISTEXT(Tabelle1[[#This Row],[Am.Englisch]]),"&lt;solutions&gt;&lt;solution&gt;&lt;tongue&gt;en-us&lt;/tongue&gt;&lt;word&gt;"&amp;SUBSTITUTE(Tabelle1[[#This Row],[Am.Englisch]],";","&lt;/word&gt;&lt;word&gt;")&amp;"&lt;/word&gt;&lt;/solution&gt;&lt;/solutions&gt;","")</f>
        <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6" t="str">
        <f>IF(ISTEXT(Tabelle1[[#This Row],[Am.Englisch]]),"&lt;solutions&gt;&lt;solution&gt;&lt;tongue&gt;en-us&lt;/tongue&gt;&lt;word&gt;"&amp;SUBSTITUTE(Tabelle1[[#This Row],[Am.Englisch]],";","&lt;/word&gt;&lt;word&gt;")&amp;"&lt;/word&gt;&lt;/solution&gt;&lt;/solutions&gt;","")</f>
        <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7" t="str">
        <f>IF(ISTEXT(Tabelle1[[#This Row],[Am.Englisch]]),"&lt;solutions&gt;&lt;solution&gt;&lt;tongue&gt;en-us&lt;/tongue&gt;&lt;word&gt;"&amp;SUBSTITUTE(Tabelle1[[#This Row],[Am.Englisch]],";","&lt;/word&gt;&lt;word&gt;")&amp;"&lt;/word&gt;&lt;/solution&gt;&lt;/solutions&gt;","")</f>
        <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8" t="str">
        <f>IF(ISTEXT(Tabelle1[[#This Row],[Am.Englisch]]),"&lt;solutions&gt;&lt;solution&gt;&lt;tongue&gt;en-us&lt;/tongue&gt;&lt;word&gt;"&amp;SUBSTITUTE(Tabelle1[[#This Row],[Am.Englisch]],";","&lt;/word&gt;&lt;word&gt;")&amp;"&lt;/word&gt;&lt;/solution&gt;&lt;/solutions&gt;","")</f>
        <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9" t="str">
        <f>IF(ISTEXT(Tabelle1[[#This Row],[Am.Englisch]]),"&lt;solutions&gt;&lt;solution&gt;&lt;tongue&gt;en-us&lt;/tongue&gt;&lt;word&gt;"&amp;SUBSTITUTE(Tabelle1[[#This Row],[Am.Englisch]],";","&lt;/word&gt;&lt;word&gt;")&amp;"&lt;/word&gt;&lt;/solution&gt;&lt;/solutions&gt;","")</f>
        <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0" t="str">
        <f>IF(ISTEXT(Tabelle1[[#This Row],[Am.Englisch]]),"&lt;solutions&gt;&lt;solution&gt;&lt;tongue&gt;en-us&lt;/tongue&gt;&lt;word&gt;"&amp;SUBSTITUTE(Tabelle1[[#This Row],[Am.Englisch]],";","&lt;/word&gt;&lt;word&gt;")&amp;"&lt;/word&gt;&lt;/solution&gt;&lt;/solutions&gt;","")</f>
        <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1" t="str">
        <f>IF(ISTEXT(Tabelle1[[#This Row],[Am.Englisch]]),"&lt;solutions&gt;&lt;solution&gt;&lt;tongue&gt;en-us&lt;/tongue&gt;&lt;word&gt;"&amp;SUBSTITUTE(Tabelle1[[#This Row],[Am.Englisch]],";","&lt;/word&gt;&lt;word&gt;")&amp;"&lt;/word&gt;&lt;/solution&gt;&lt;/solutions&gt;","")</f>
        <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2" t="str">
        <f>IF(ISTEXT(Tabelle1[[#This Row],[Am.Englisch]]),"&lt;solutions&gt;&lt;solution&gt;&lt;tongue&gt;en-us&lt;/tongue&gt;&lt;word&gt;"&amp;SUBSTITUTE(Tabelle1[[#This Row],[Am.Englisch]],";","&lt;/word&gt;&lt;word&gt;")&amp;"&lt;/word&gt;&lt;/solution&gt;&lt;/solutions&gt;","")</f>
        <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3" t="str">
        <f>IF(ISTEXT(Tabelle1[[#This Row],[Am.Englisch]]),"&lt;solutions&gt;&lt;solution&gt;&lt;tongue&gt;en-us&lt;/tongue&gt;&lt;word&gt;"&amp;SUBSTITUTE(Tabelle1[[#This Row],[Am.Englisch]],";","&lt;/word&gt;&lt;word&gt;")&amp;"&lt;/word&gt;&lt;/solution&gt;&lt;/solutions&gt;","")</f>
        <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4" t="str">
        <f>IF(ISTEXT(Tabelle1[[#This Row],[Am.Englisch]]),"&lt;solutions&gt;&lt;solution&gt;&lt;tongue&gt;en-us&lt;/tongue&gt;&lt;word&gt;"&amp;SUBSTITUTE(Tabelle1[[#This Row],[Am.Englisch]],";","&lt;/word&gt;&lt;word&gt;")&amp;"&lt;/word&gt;&lt;/solution&gt;&lt;/solutions&gt;","")</f>
        <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5" t="str">
        <f>IF(ISTEXT(Tabelle1[[#This Row],[Am.Englisch]]),"&lt;solutions&gt;&lt;solution&gt;&lt;tongue&gt;en-us&lt;/tongue&gt;&lt;word&gt;"&amp;SUBSTITUTE(Tabelle1[[#This Row],[Am.Englisch]],";","&lt;/word&gt;&lt;word&gt;")&amp;"&lt;/word&gt;&lt;/solution&gt;&lt;/solutions&gt;","")</f>
        <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6" t="str">
        <f>IF(ISTEXT(Tabelle1[[#This Row],[Am.Englisch]]),"&lt;solutions&gt;&lt;solution&gt;&lt;tongue&gt;en-us&lt;/tongue&gt;&lt;word&gt;"&amp;SUBSTITUTE(Tabelle1[[#This Row],[Am.Englisch]],";","&lt;/word&gt;&lt;word&gt;")&amp;"&lt;/word&gt;&lt;/solution&gt;&lt;/solutions&gt;","")</f>
        <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7" t="str">
        <f>IF(ISTEXT(Tabelle1[[#This Row],[Am.Englisch]]),"&lt;solutions&gt;&lt;solution&gt;&lt;tongue&gt;en-us&lt;/tongue&gt;&lt;word&gt;"&amp;SUBSTITUTE(Tabelle1[[#This Row],[Am.Englisch]],";","&lt;/word&gt;&lt;word&gt;")&amp;"&lt;/word&gt;&lt;/solution&gt;&lt;/solutions&gt;","")</f>
        <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8" t="str">
        <f>IF(ISTEXT(Tabelle1[[#This Row],[Am.Englisch]]),"&lt;solutions&gt;&lt;solution&gt;&lt;tongue&gt;en-us&lt;/tongue&gt;&lt;word&gt;"&amp;SUBSTITUTE(Tabelle1[[#This Row],[Am.Englisch]],";","&lt;/word&gt;&lt;word&gt;")&amp;"&lt;/word&gt;&lt;/solution&gt;&lt;/solutions&gt;","")</f>
        <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9" t="str">
        <f>IF(ISTEXT(Tabelle1[[#This Row],[Am.Englisch]]),"&lt;solutions&gt;&lt;solution&gt;&lt;tongue&gt;en-us&lt;/tongue&gt;&lt;word&gt;"&amp;SUBSTITUTE(Tabelle1[[#This Row],[Am.Englisch]],";","&lt;/word&gt;&lt;word&gt;")&amp;"&lt;/word&gt;&lt;/solution&gt;&lt;/solutions&gt;","")</f>
        <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0" t="str">
        <f>IF(ISTEXT(Tabelle1[[#This Row],[Am.Englisch]]),"&lt;solutions&gt;&lt;solution&gt;&lt;tongue&gt;en-us&lt;/tongue&gt;&lt;word&gt;"&amp;SUBSTITUTE(Tabelle1[[#This Row],[Am.Englisch]],";","&lt;/word&gt;&lt;word&gt;")&amp;"&lt;/word&gt;&lt;/solution&gt;&lt;/solutions&gt;","")</f>
        <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1" t="str">
        <f>IF(ISTEXT(Tabelle1[[#This Row],[Am.Englisch]]),"&lt;solutions&gt;&lt;solution&gt;&lt;tongue&gt;en-us&lt;/tongue&gt;&lt;word&gt;"&amp;SUBSTITUTE(Tabelle1[[#This Row],[Am.Englisch]],";","&lt;/word&gt;&lt;word&gt;")&amp;"&lt;/word&gt;&lt;/solution&gt;&lt;/solutions&gt;","")</f>
        <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2" t="str">
        <f>IF(ISTEXT(Tabelle1[[#This Row],[Am.Englisch]]),"&lt;solutions&gt;&lt;solution&gt;&lt;tongue&gt;en-us&lt;/tongue&gt;&lt;word&gt;"&amp;SUBSTITUTE(Tabelle1[[#This Row],[Am.Englisch]],";","&lt;/word&gt;&lt;word&gt;")&amp;"&lt;/word&gt;&lt;/solution&gt;&lt;/solutions&gt;","")</f>
        <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3" t="str">
        <f>IF(ISTEXT(Tabelle1[[#This Row],[Am.Englisch]]),"&lt;solutions&gt;&lt;solution&gt;&lt;tongue&gt;en-us&lt;/tongue&gt;&lt;word&gt;"&amp;SUBSTITUTE(Tabelle1[[#This Row],[Am.Englisch]],";","&lt;/word&gt;&lt;word&gt;")&amp;"&lt;/word&gt;&lt;/solution&gt;&lt;/solutions&gt;","")</f>
        <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4" t="str">
        <f>IF(ISTEXT(Tabelle1[[#This Row],[Am.Englisch]]),"&lt;solutions&gt;&lt;solution&gt;&lt;tongue&gt;en-us&lt;/tongue&gt;&lt;word&gt;"&amp;SUBSTITUTE(Tabelle1[[#This Row],[Am.Englisch]],";","&lt;/word&gt;&lt;word&gt;")&amp;"&lt;/word&gt;&lt;/solution&gt;&lt;/solutions&gt;","")</f>
        <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5" t="str">
        <f>IF(ISTEXT(Tabelle1[[#This Row],[Am.Englisch]]),"&lt;solutions&gt;&lt;solution&gt;&lt;tongue&gt;en-us&lt;/tongue&gt;&lt;word&gt;"&amp;SUBSTITUTE(Tabelle1[[#This Row],[Am.Englisch]],";","&lt;/word&gt;&lt;word&gt;")&amp;"&lt;/word&gt;&lt;/solution&gt;&lt;/solutions&gt;","")</f>
        <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6" t="str">
        <f>IF(ISTEXT(Tabelle1[[#This Row],[Am.Englisch]]),"&lt;solutions&gt;&lt;solution&gt;&lt;tongue&gt;en-us&lt;/tongue&gt;&lt;word&gt;"&amp;SUBSTITUTE(Tabelle1[[#This Row],[Am.Englisch]],";","&lt;/word&gt;&lt;word&gt;")&amp;"&lt;/word&gt;&lt;/solution&gt;&lt;/solutions&gt;","")</f>
        <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7" t="str">
        <f>IF(ISTEXT(Tabelle1[[#This Row],[Am.Englisch]]),"&lt;solutions&gt;&lt;solution&gt;&lt;tongue&gt;en-us&lt;/tongue&gt;&lt;word&gt;"&amp;SUBSTITUTE(Tabelle1[[#This Row],[Am.Englisch]],";","&lt;/word&gt;&lt;word&gt;")&amp;"&lt;/word&gt;&lt;/solution&gt;&lt;/solutions&gt;","")</f>
        <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8" t="str">
        <f>IF(ISTEXT(Tabelle1[[#This Row],[Am.Englisch]]),"&lt;solutions&gt;&lt;solution&gt;&lt;tongue&gt;en-us&lt;/tongue&gt;&lt;word&gt;"&amp;SUBSTITUTE(Tabelle1[[#This Row],[Am.Englisch]],";","&lt;/word&gt;&lt;word&gt;")&amp;"&lt;/word&gt;&lt;/solution&gt;&lt;/solutions&gt;","")</f>
        <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9" t="str">
        <f>IF(ISTEXT(Tabelle1[[#This Row],[Am.Englisch]]),"&lt;solutions&gt;&lt;solution&gt;&lt;tongue&gt;en-us&lt;/tongue&gt;&lt;word&gt;"&amp;SUBSTITUTE(Tabelle1[[#This Row],[Am.Englisch]],";","&lt;/word&gt;&lt;word&gt;")&amp;"&lt;/word&gt;&lt;/solution&gt;&lt;/solutions&gt;","")</f>
        <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0" t="str">
        <f>IF(ISTEXT(Tabelle1[[#This Row],[Am.Englisch]]),"&lt;solutions&gt;&lt;solution&gt;&lt;tongue&gt;en-us&lt;/tongue&gt;&lt;word&gt;"&amp;SUBSTITUTE(Tabelle1[[#This Row],[Am.Englisch]],";","&lt;/word&gt;&lt;word&gt;")&amp;"&lt;/word&gt;&lt;/solution&gt;&lt;/solutions&gt;","")</f>
        <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1" t="str">
        <f>IF(ISTEXT(Tabelle1[[#This Row],[Am.Englisch]]),"&lt;solutions&gt;&lt;solution&gt;&lt;tongue&gt;en-us&lt;/tongue&gt;&lt;word&gt;"&amp;SUBSTITUTE(Tabelle1[[#This Row],[Am.Englisch]],";","&lt;/word&gt;&lt;word&gt;")&amp;"&lt;/word&gt;&lt;/solution&gt;&lt;/solutions&gt;","")</f>
        <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2" t="str">
        <f>IF(ISTEXT(Tabelle1[[#This Row],[Am.Englisch]]),"&lt;solutions&gt;&lt;solution&gt;&lt;tongue&gt;en-us&lt;/tongue&gt;&lt;word&gt;"&amp;SUBSTITUTE(Tabelle1[[#This Row],[Am.Englisch]],";","&lt;/word&gt;&lt;word&gt;")&amp;"&lt;/word&gt;&lt;/solution&gt;&lt;/solutions&gt;","")</f>
        <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3" t="str">
        <f>IF(ISTEXT(Tabelle1[[#This Row],[Am.Englisch]]),"&lt;solutions&gt;&lt;solution&gt;&lt;tongue&gt;en-us&lt;/tongue&gt;&lt;word&gt;"&amp;SUBSTITUTE(Tabelle1[[#This Row],[Am.Englisch]],";","&lt;/word&gt;&lt;word&gt;")&amp;"&lt;/word&gt;&lt;/solution&gt;&lt;/solutions&gt;","")</f>
        <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4" t="str">
        <f>IF(ISTEXT(Tabelle1[[#This Row],[Am.Englisch]]),"&lt;solutions&gt;&lt;solution&gt;&lt;tongue&gt;en-us&lt;/tongue&gt;&lt;word&gt;"&amp;SUBSTITUTE(Tabelle1[[#This Row],[Am.Englisch]],";","&lt;/word&gt;&lt;word&gt;")&amp;"&lt;/word&gt;&lt;/solution&gt;&lt;/solutions&gt;","")</f>
        <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5" t="str">
        <f>IF(ISTEXT(Tabelle1[[#This Row],[Am.Englisch]]),"&lt;solutions&gt;&lt;solution&gt;&lt;tongue&gt;en-us&lt;/tongue&gt;&lt;word&gt;"&amp;SUBSTITUTE(Tabelle1[[#This Row],[Am.Englisch]],";","&lt;/word&gt;&lt;word&gt;")&amp;"&lt;/word&gt;&lt;/solution&gt;&lt;/solutions&gt;","")</f>
        <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6" t="str">
        <f>IF(ISTEXT(Tabelle1[[#This Row],[Am.Englisch]]),"&lt;solutions&gt;&lt;solution&gt;&lt;tongue&gt;en-us&lt;/tongue&gt;&lt;word&gt;"&amp;SUBSTITUTE(Tabelle1[[#This Row],[Am.Englisch]],";","&lt;/word&gt;&lt;word&gt;")&amp;"&lt;/word&gt;&lt;/solution&gt;&lt;/solutions&gt;","")</f>
        <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7" t="str">
        <f>IF(ISTEXT(Tabelle1[[#This Row],[Am.Englisch]]),"&lt;solutions&gt;&lt;solution&gt;&lt;tongue&gt;en-us&lt;/tongue&gt;&lt;word&gt;"&amp;SUBSTITUTE(Tabelle1[[#This Row],[Am.Englisch]],";","&lt;/word&gt;&lt;word&gt;")&amp;"&lt;/word&gt;&lt;/solution&gt;&lt;/solutions&gt;","")</f>
        <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8" t="str">
        <f>IF(ISTEXT(Tabelle1[[#This Row],[Am.Englisch]]),"&lt;solutions&gt;&lt;solution&gt;&lt;tongue&gt;en-us&lt;/tongue&gt;&lt;word&gt;"&amp;SUBSTITUTE(Tabelle1[[#This Row],[Am.Englisch]],";","&lt;/word&gt;&lt;word&gt;")&amp;"&lt;/word&gt;&lt;/solution&gt;&lt;/solutions&gt;","")</f>
        <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9" t="str">
        <f>IF(ISTEXT(Tabelle1[[#This Row],[Am.Englisch]]),"&lt;solutions&gt;&lt;solution&gt;&lt;tongue&gt;en-us&lt;/tongue&gt;&lt;word&gt;"&amp;SUBSTITUTE(Tabelle1[[#This Row],[Am.Englisch]],";","&lt;/word&gt;&lt;word&gt;")&amp;"&lt;/word&gt;&lt;/solution&gt;&lt;/solutions&gt;","")</f>
        <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0" t="str">
        <f>IF(ISTEXT(Tabelle1[[#This Row],[Am.Englisch]]),"&lt;solutions&gt;&lt;solution&gt;&lt;tongue&gt;en-us&lt;/tongue&gt;&lt;word&gt;"&amp;SUBSTITUTE(Tabelle1[[#This Row],[Am.Englisch]],";","&lt;/word&gt;&lt;word&gt;")&amp;"&lt;/word&gt;&lt;/solution&gt;&lt;/solutions&gt;","")</f>
        <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1" t="str">
        <f>IF(ISTEXT(Tabelle1[[#This Row],[Am.Englisch]]),"&lt;solutions&gt;&lt;solution&gt;&lt;tongue&gt;en-us&lt;/tongue&gt;&lt;word&gt;"&amp;SUBSTITUTE(Tabelle1[[#This Row],[Am.Englisch]],";","&lt;/word&gt;&lt;word&gt;")&amp;"&lt;/word&gt;&lt;/solution&gt;&lt;/solutions&gt;","")</f>
        <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2" t="str">
        <f>IF(ISTEXT(Tabelle1[[#This Row],[Am.Englisch]]),"&lt;solutions&gt;&lt;solution&gt;&lt;tongue&gt;en-us&lt;/tongue&gt;&lt;word&gt;"&amp;SUBSTITUTE(Tabelle1[[#This Row],[Am.Englisch]],";","&lt;/word&gt;&lt;word&gt;")&amp;"&lt;/word&gt;&lt;/solution&gt;&lt;/solutions&gt;","")</f>
        <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3" t="str">
        <f>IF(ISTEXT(Tabelle1[[#This Row],[Am.Englisch]]),"&lt;solutions&gt;&lt;solution&gt;&lt;tongue&gt;en-us&lt;/tongue&gt;&lt;word&gt;"&amp;SUBSTITUTE(Tabelle1[[#This Row],[Am.Englisch]],";","&lt;/word&gt;&lt;word&gt;")&amp;"&lt;/word&gt;&lt;/solution&gt;&lt;/solutions&gt;","")</f>
        <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4" t="str">
        <f>IF(ISTEXT(Tabelle1[[#This Row],[Am.Englisch]]),"&lt;solutions&gt;&lt;solution&gt;&lt;tongue&gt;en-us&lt;/tongue&gt;&lt;word&gt;"&amp;SUBSTITUTE(Tabelle1[[#This Row],[Am.Englisch]],";","&lt;/word&gt;&lt;word&gt;")&amp;"&lt;/word&gt;&lt;/solution&gt;&lt;/solutions&gt;","")</f>
        <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5" t="str">
        <f>IF(ISTEXT(Tabelle1[[#This Row],[Am.Englisch]]),"&lt;solutions&gt;&lt;solution&gt;&lt;tongue&gt;en-us&lt;/tongue&gt;&lt;word&gt;"&amp;SUBSTITUTE(Tabelle1[[#This Row],[Am.Englisch]],";","&lt;/word&gt;&lt;word&gt;")&amp;"&lt;/word&gt;&lt;/solution&gt;&lt;/solutions&gt;","")</f>
        <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6" t="str">
        <f>IF(ISTEXT(Tabelle1[[#This Row],[Am.Englisch]]),"&lt;solutions&gt;&lt;solution&gt;&lt;tongue&gt;en-us&lt;/tongue&gt;&lt;word&gt;"&amp;SUBSTITUTE(Tabelle1[[#This Row],[Am.Englisch]],";","&lt;/word&gt;&lt;word&gt;")&amp;"&lt;/word&gt;&lt;/solution&gt;&lt;/solutions&gt;","")</f>
        <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7" t="str">
        <f>IF(ISTEXT(Tabelle1[[#This Row],[Am.Englisch]]),"&lt;solutions&gt;&lt;solution&gt;&lt;tongue&gt;en-us&lt;/tongue&gt;&lt;word&gt;"&amp;SUBSTITUTE(Tabelle1[[#This Row],[Am.Englisch]],";","&lt;/word&gt;&lt;word&gt;")&amp;"&lt;/word&gt;&lt;/solution&gt;&lt;/solutions&gt;","")</f>
        <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8" t="str">
        <f>IF(ISTEXT(Tabelle1[[#This Row],[Am.Englisch]]),"&lt;solutions&gt;&lt;solution&gt;&lt;tongue&gt;en-us&lt;/tongue&gt;&lt;word&gt;"&amp;SUBSTITUTE(Tabelle1[[#This Row],[Am.Englisch]],";","&lt;/word&gt;&lt;word&gt;")&amp;"&lt;/word&gt;&lt;/solution&gt;&lt;/solutions&gt;","")</f>
        <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9" t="str">
        <f>IF(ISTEXT(Tabelle1[[#This Row],[Am.Englisch]]),"&lt;solutions&gt;&lt;solution&gt;&lt;tongue&gt;en-us&lt;/tongue&gt;&lt;word&gt;"&amp;SUBSTITUTE(Tabelle1[[#This Row],[Am.Englisch]],";","&lt;/word&gt;&lt;word&gt;")&amp;"&lt;/word&gt;&lt;/solution&gt;&lt;/solutions&gt;","")</f>
        <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0" t="str">
        <f>IF(ISTEXT(Tabelle1[[#This Row],[Am.Englisch]]),"&lt;solutions&gt;&lt;solution&gt;&lt;tongue&gt;en-us&lt;/tongue&gt;&lt;word&gt;"&amp;SUBSTITUTE(Tabelle1[[#This Row],[Am.Englisch]],";","&lt;/word&gt;&lt;word&gt;")&amp;"&lt;/word&gt;&lt;/solution&gt;&lt;/solutions&gt;","")</f>
        <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1" t="str">
        <f>IF(ISTEXT(Tabelle1[[#This Row],[Am.Englisch]]),"&lt;solutions&gt;&lt;solution&gt;&lt;tongue&gt;en-us&lt;/tongue&gt;&lt;word&gt;"&amp;SUBSTITUTE(Tabelle1[[#This Row],[Am.Englisch]],";","&lt;/word&gt;&lt;word&gt;")&amp;"&lt;/word&gt;&lt;/solution&gt;&lt;/solutions&gt;","")</f>
        <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2" t="str">
        <f>IF(ISTEXT(Tabelle1[[#This Row],[Am.Englisch]]),"&lt;solutions&gt;&lt;solution&gt;&lt;tongue&gt;en-us&lt;/tongue&gt;&lt;word&gt;"&amp;SUBSTITUTE(Tabelle1[[#This Row],[Am.Englisch]],";","&lt;/word&gt;&lt;word&gt;")&amp;"&lt;/word&gt;&lt;/solution&gt;&lt;/solutions&gt;","")</f>
        <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3" t="str">
        <f>IF(ISTEXT(Tabelle1[[#This Row],[Am.Englisch]]),"&lt;solutions&gt;&lt;solution&gt;&lt;tongue&gt;en-us&lt;/tongue&gt;&lt;word&gt;"&amp;SUBSTITUTE(Tabelle1[[#This Row],[Am.Englisch]],";","&lt;/word&gt;&lt;word&gt;")&amp;"&lt;/word&gt;&lt;/solution&gt;&lt;/solutions&gt;","")</f>
        <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4" t="str">
        <f>IF(ISTEXT(Tabelle1[[#This Row],[Am.Englisch]]),"&lt;solutions&gt;&lt;solution&gt;&lt;tongue&gt;en-us&lt;/tongue&gt;&lt;word&gt;"&amp;SUBSTITUTE(Tabelle1[[#This Row],[Am.Englisch]],";","&lt;/word&gt;&lt;word&gt;")&amp;"&lt;/word&gt;&lt;/solution&gt;&lt;/solutions&gt;","")</f>
        <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5" t="str">
        <f>IF(ISTEXT(Tabelle1[[#This Row],[Am.Englisch]]),"&lt;solutions&gt;&lt;solution&gt;&lt;tongue&gt;en-us&lt;/tongue&gt;&lt;word&gt;"&amp;SUBSTITUTE(Tabelle1[[#This Row],[Am.Englisch]],";","&lt;/word&gt;&lt;word&gt;")&amp;"&lt;/word&gt;&lt;/solution&gt;&lt;/solutions&gt;","")</f>
        <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6" t="str">
        <f>IF(ISTEXT(Tabelle1[[#This Row],[Am.Englisch]]),"&lt;solutions&gt;&lt;solution&gt;&lt;tongue&gt;en-us&lt;/tongue&gt;&lt;word&gt;"&amp;SUBSTITUTE(Tabelle1[[#This Row],[Am.Englisch]],";","&lt;/word&gt;&lt;word&gt;")&amp;"&lt;/word&gt;&lt;/solution&gt;&lt;/solutions&gt;","")</f>
        <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7" t="str">
        <f>IF(ISTEXT(Tabelle1[[#This Row],[Am.Englisch]]),"&lt;solutions&gt;&lt;solution&gt;&lt;tongue&gt;en-us&lt;/tongue&gt;&lt;word&gt;"&amp;SUBSTITUTE(Tabelle1[[#This Row],[Am.Englisch]],";","&lt;/word&gt;&lt;word&gt;")&amp;"&lt;/word&gt;&lt;/solution&gt;&lt;/solutions&gt;","")</f>
        <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8" t="str">
        <f>IF(ISTEXT(Tabelle1[[#This Row],[Am.Englisch]]),"&lt;solutions&gt;&lt;solution&gt;&lt;tongue&gt;en-us&lt;/tongue&gt;&lt;word&gt;"&amp;SUBSTITUTE(Tabelle1[[#This Row],[Am.Englisch]],";","&lt;/word&gt;&lt;word&gt;")&amp;"&lt;/word&gt;&lt;/solution&gt;&lt;/solutions&gt;","")</f>
        <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9" t="str">
        <f>IF(ISTEXT(Tabelle1[[#This Row],[Am.Englisch]]),"&lt;solutions&gt;&lt;solution&gt;&lt;tongue&gt;en-us&lt;/tongue&gt;&lt;word&gt;"&amp;SUBSTITUTE(Tabelle1[[#This Row],[Am.Englisch]],";","&lt;/word&gt;&lt;word&gt;")&amp;"&lt;/word&gt;&lt;/solution&gt;&lt;/solutions&gt;","")</f>
        <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0" t="str">
        <f>IF(ISTEXT(Tabelle1[[#This Row],[Am.Englisch]]),"&lt;solutions&gt;&lt;solution&gt;&lt;tongue&gt;en-us&lt;/tongue&gt;&lt;word&gt;"&amp;SUBSTITUTE(Tabelle1[[#This Row],[Am.Englisch]],";","&lt;/word&gt;&lt;word&gt;")&amp;"&lt;/word&gt;&lt;/solution&gt;&lt;/solutions&gt;","")</f>
        <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1" t="str">
        <f>IF(ISTEXT(Tabelle1[[#This Row],[Am.Englisch]]),"&lt;solutions&gt;&lt;solution&gt;&lt;tongue&gt;en-us&lt;/tongue&gt;&lt;word&gt;"&amp;SUBSTITUTE(Tabelle1[[#This Row],[Am.Englisch]],";","&lt;/word&gt;&lt;word&gt;")&amp;"&lt;/word&gt;&lt;/solution&gt;&lt;/solutions&gt;","")</f>
        <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2" t="str">
        <f>IF(ISTEXT(Tabelle1[[#This Row],[Am.Englisch]]),"&lt;solutions&gt;&lt;solution&gt;&lt;tongue&gt;en-us&lt;/tongue&gt;&lt;word&gt;"&amp;SUBSTITUTE(Tabelle1[[#This Row],[Am.Englisch]],";","&lt;/word&gt;&lt;word&gt;")&amp;"&lt;/word&gt;&lt;/solution&gt;&lt;/solutions&gt;","")</f>
        <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3" t="str">
        <f>IF(ISTEXT(Tabelle1[[#This Row],[Am.Englisch]]),"&lt;solutions&gt;&lt;solution&gt;&lt;tongue&gt;en-us&lt;/tongue&gt;&lt;word&gt;"&amp;SUBSTITUTE(Tabelle1[[#This Row],[Am.Englisch]],";","&lt;/word&gt;&lt;word&gt;")&amp;"&lt;/word&gt;&lt;/solution&gt;&lt;/solutions&gt;","")</f>
        <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4" t="str">
        <f>IF(ISTEXT(Tabelle1[[#This Row],[Am.Englisch]]),"&lt;solutions&gt;&lt;solution&gt;&lt;tongue&gt;en-us&lt;/tongue&gt;&lt;word&gt;"&amp;SUBSTITUTE(Tabelle1[[#This Row],[Am.Englisch]],";","&lt;/word&gt;&lt;word&gt;")&amp;"&lt;/word&gt;&lt;/solution&gt;&lt;/solutions&gt;","")</f>
        <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5" t="str">
        <f>IF(ISTEXT(Tabelle1[[#This Row],[Am.Englisch]]),"&lt;solutions&gt;&lt;solution&gt;&lt;tongue&gt;en-us&lt;/tongue&gt;&lt;word&gt;"&amp;SUBSTITUTE(Tabelle1[[#This Row],[Am.Englisch]],";","&lt;/word&gt;&lt;word&gt;")&amp;"&lt;/word&gt;&lt;/solution&gt;&lt;/solutions&gt;","")</f>
        <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6" t="str">
        <f>IF(ISTEXT(Tabelle1[[#This Row],[Am.Englisch]]),"&lt;solutions&gt;&lt;solution&gt;&lt;tongue&gt;en-us&lt;/tongue&gt;&lt;word&gt;"&amp;SUBSTITUTE(Tabelle1[[#This Row],[Am.Englisch]],";","&lt;/word&gt;&lt;word&gt;")&amp;"&lt;/word&gt;&lt;/solution&gt;&lt;/solutions&gt;","")</f>
        <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7" t="str">
        <f>IF(ISTEXT(Tabelle1[[#This Row],[Am.Englisch]]),"&lt;solutions&gt;&lt;solution&gt;&lt;tongue&gt;en-us&lt;/tongue&gt;&lt;word&gt;"&amp;SUBSTITUTE(Tabelle1[[#This Row],[Am.Englisch]],";","&lt;/word&gt;&lt;word&gt;")&amp;"&lt;/word&gt;&lt;/solution&gt;&lt;/solutions&gt;","")</f>
        <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8" t="str">
        <f>IF(ISTEXT(Tabelle1[[#This Row],[Am.Englisch]]),"&lt;solutions&gt;&lt;solution&gt;&lt;tongue&gt;en-us&lt;/tongue&gt;&lt;word&gt;"&amp;SUBSTITUTE(Tabelle1[[#This Row],[Am.Englisch]],";","&lt;/word&gt;&lt;word&gt;")&amp;"&lt;/word&gt;&lt;/solution&gt;&lt;/solutions&gt;","")</f>
        <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9" t="str">
        <f>IF(ISTEXT(Tabelle1[[#This Row],[Am.Englisch]]),"&lt;solutions&gt;&lt;solution&gt;&lt;tongue&gt;en-us&lt;/tongue&gt;&lt;word&gt;"&amp;SUBSTITUTE(Tabelle1[[#This Row],[Am.Englisch]],";","&lt;/word&gt;&lt;word&gt;")&amp;"&lt;/word&gt;&lt;/solution&gt;&lt;/solutions&gt;","")</f>
        <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0" t="str">
        <f>IF(ISTEXT(Tabelle1[[#This Row],[Am.Englisch]]),"&lt;solutions&gt;&lt;solution&gt;&lt;tongue&gt;en-us&lt;/tongue&gt;&lt;word&gt;"&amp;SUBSTITUTE(Tabelle1[[#This Row],[Am.Englisch]],";","&lt;/word&gt;&lt;word&gt;")&amp;"&lt;/word&gt;&lt;/solution&gt;&lt;/solutions&gt;","")</f>
        <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1" t="str">
        <f>IF(ISTEXT(Tabelle1[[#This Row],[Am.Englisch]]),"&lt;solutions&gt;&lt;solution&gt;&lt;tongue&gt;en-us&lt;/tongue&gt;&lt;word&gt;"&amp;SUBSTITUTE(Tabelle1[[#This Row],[Am.Englisch]],";","&lt;/word&gt;&lt;word&gt;")&amp;"&lt;/word&gt;&lt;/solution&gt;&lt;/solutions&gt;","")</f>
        <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2" t="str">
        <f>IF(ISTEXT(Tabelle1[[#This Row],[Am.Englisch]]),"&lt;solutions&gt;&lt;solution&gt;&lt;tongue&gt;en-us&lt;/tongue&gt;&lt;word&gt;"&amp;SUBSTITUTE(Tabelle1[[#This Row],[Am.Englisch]],";","&lt;/word&gt;&lt;word&gt;")&amp;"&lt;/word&gt;&lt;/solution&gt;&lt;/solutions&gt;","")</f>
        <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3" t="str">
        <f>IF(ISTEXT(Tabelle1[[#This Row],[Am.Englisch]]),"&lt;solutions&gt;&lt;solution&gt;&lt;tongue&gt;en-us&lt;/tongue&gt;&lt;word&gt;"&amp;SUBSTITUTE(Tabelle1[[#This Row],[Am.Englisch]],";","&lt;/word&gt;&lt;word&gt;")&amp;"&lt;/word&gt;&lt;/solution&gt;&lt;/solutions&gt;","")</f>
        <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4" t="str">
        <f>IF(ISTEXT(Tabelle1[[#This Row],[Am.Englisch]]),"&lt;solutions&gt;&lt;solution&gt;&lt;tongue&gt;en-us&lt;/tongue&gt;&lt;word&gt;"&amp;SUBSTITUTE(Tabelle1[[#This Row],[Am.Englisch]],";","&lt;/word&gt;&lt;word&gt;")&amp;"&lt;/word&gt;&lt;/solution&gt;&lt;/solutions&gt;","")</f>
        <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5" t="str">
        <f>IF(ISTEXT(Tabelle1[[#This Row],[Am.Englisch]]),"&lt;solutions&gt;&lt;solution&gt;&lt;tongue&gt;en-us&lt;/tongue&gt;&lt;word&gt;"&amp;SUBSTITUTE(Tabelle1[[#This Row],[Am.Englisch]],";","&lt;/word&gt;&lt;word&gt;")&amp;"&lt;/word&gt;&lt;/solution&gt;&lt;/solutions&gt;","")</f>
        <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6" t="str">
        <f>IF(ISTEXT(Tabelle1[[#This Row],[Am.Englisch]]),"&lt;solutions&gt;&lt;solution&gt;&lt;tongue&gt;en-us&lt;/tongue&gt;&lt;word&gt;"&amp;SUBSTITUTE(Tabelle1[[#This Row],[Am.Englisch]],";","&lt;/word&gt;&lt;word&gt;")&amp;"&lt;/word&gt;&lt;/solution&gt;&lt;/solutions&gt;","")</f>
        <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7" t="str">
        <f>IF(ISTEXT(Tabelle1[[#This Row],[Am.Englisch]]),"&lt;solutions&gt;&lt;solution&gt;&lt;tongue&gt;en-us&lt;/tongue&gt;&lt;word&gt;"&amp;SUBSTITUTE(Tabelle1[[#This Row],[Am.Englisch]],";","&lt;/word&gt;&lt;word&gt;")&amp;"&lt;/word&gt;&lt;/solution&gt;&lt;/solutions&gt;","")</f>
        <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8" t="str">
        <f>IF(ISTEXT(Tabelle1[[#This Row],[Am.Englisch]]),"&lt;solutions&gt;&lt;solution&gt;&lt;tongue&gt;en-us&lt;/tongue&gt;&lt;word&gt;"&amp;SUBSTITUTE(Tabelle1[[#This Row],[Am.Englisch]],";","&lt;/word&gt;&lt;word&gt;")&amp;"&lt;/word&gt;&lt;/solution&gt;&lt;/solutions&gt;","")</f>
        <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9" t="str">
        <f>IF(ISTEXT(Tabelle1[[#This Row],[Am.Englisch]]),"&lt;solutions&gt;&lt;solution&gt;&lt;tongue&gt;en-us&lt;/tongue&gt;&lt;word&gt;"&amp;SUBSTITUTE(Tabelle1[[#This Row],[Am.Englisch]],";","&lt;/word&gt;&lt;word&gt;")&amp;"&lt;/word&gt;&lt;/solution&gt;&lt;/solutions&gt;","")</f>
        <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0" t="str">
        <f>IF(ISTEXT(Tabelle1[[#This Row],[Am.Englisch]]),"&lt;solutions&gt;&lt;solution&gt;&lt;tongue&gt;en-us&lt;/tongue&gt;&lt;word&gt;"&amp;SUBSTITUTE(Tabelle1[[#This Row],[Am.Englisch]],";","&lt;/word&gt;&lt;word&gt;")&amp;"&lt;/word&gt;&lt;/solution&gt;&lt;/solutions&gt;","")</f>
        <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1" t="str">
        <f>IF(ISTEXT(Tabelle1[[#This Row],[Am.Englisch]]),"&lt;solutions&gt;&lt;solution&gt;&lt;tongue&gt;en-us&lt;/tongue&gt;&lt;word&gt;"&amp;SUBSTITUTE(Tabelle1[[#This Row],[Am.Englisch]],";","&lt;/word&gt;&lt;word&gt;")&amp;"&lt;/word&gt;&lt;/solution&gt;&lt;/solutions&gt;","")</f>
        <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2" t="str">
        <f>IF(ISTEXT(Tabelle1[[#This Row],[Am.Englisch]]),"&lt;solutions&gt;&lt;solution&gt;&lt;tongue&gt;en-us&lt;/tongue&gt;&lt;word&gt;"&amp;SUBSTITUTE(Tabelle1[[#This Row],[Am.Englisch]],";","&lt;/word&gt;&lt;word&gt;")&amp;"&lt;/word&gt;&lt;/solution&gt;&lt;/solutions&gt;","")</f>
        <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3" t="str">
        <f>IF(ISTEXT(Tabelle1[[#This Row],[Am.Englisch]]),"&lt;solutions&gt;&lt;solution&gt;&lt;tongue&gt;en-us&lt;/tongue&gt;&lt;word&gt;"&amp;SUBSTITUTE(Tabelle1[[#This Row],[Am.Englisch]],";","&lt;/word&gt;&lt;word&gt;")&amp;"&lt;/word&gt;&lt;/solution&gt;&lt;/solutions&gt;","")</f>
        <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4" t="str">
        <f>IF(ISTEXT(Tabelle1[[#This Row],[Am.Englisch]]),"&lt;solutions&gt;&lt;solution&gt;&lt;tongue&gt;en-us&lt;/tongue&gt;&lt;word&gt;"&amp;SUBSTITUTE(Tabelle1[[#This Row],[Am.Englisch]],";","&lt;/word&gt;&lt;word&gt;")&amp;"&lt;/word&gt;&lt;/solution&gt;&lt;/solutions&gt;","")</f>
        <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5" t="str">
        <f>IF(ISTEXT(Tabelle1[[#This Row],[Am.Englisch]]),"&lt;solutions&gt;&lt;solution&gt;&lt;tongue&gt;en-us&lt;/tongue&gt;&lt;word&gt;"&amp;SUBSTITUTE(Tabelle1[[#This Row],[Am.Englisch]],";","&lt;/word&gt;&lt;word&gt;")&amp;"&lt;/word&gt;&lt;/solution&gt;&lt;/solutions&gt;","")</f>
        <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6" t="str">
        <f>IF(ISTEXT(Tabelle1[[#This Row],[Am.Englisch]]),"&lt;solutions&gt;&lt;solution&gt;&lt;tongue&gt;en-us&lt;/tongue&gt;&lt;word&gt;"&amp;SUBSTITUTE(Tabelle1[[#This Row],[Am.Englisch]],";","&lt;/word&gt;&lt;word&gt;")&amp;"&lt;/word&gt;&lt;/solution&gt;&lt;/solutions&gt;","")</f>
        <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7" t="str">
        <f>IF(ISTEXT(Tabelle1[[#This Row],[Am.Englisch]]),"&lt;solutions&gt;&lt;solution&gt;&lt;tongue&gt;en-us&lt;/tongue&gt;&lt;word&gt;"&amp;SUBSTITUTE(Tabelle1[[#This Row],[Am.Englisch]],";","&lt;/word&gt;&lt;word&gt;")&amp;"&lt;/word&gt;&lt;/solution&gt;&lt;/solutions&gt;","")</f>
        <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8" t="str">
        <f>IF(ISTEXT(Tabelle1[[#This Row],[Am.Englisch]]),"&lt;solutions&gt;&lt;solution&gt;&lt;tongue&gt;en-us&lt;/tongue&gt;&lt;word&gt;"&amp;SUBSTITUTE(Tabelle1[[#This Row],[Am.Englisch]],";","&lt;/word&gt;&lt;word&gt;")&amp;"&lt;/word&gt;&lt;/solution&gt;&lt;/solutions&gt;","")</f>
        <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9" t="str">
        <f>IF(ISTEXT(Tabelle1[[#This Row],[Am.Englisch]]),"&lt;solutions&gt;&lt;solution&gt;&lt;tongue&gt;en-us&lt;/tongue&gt;&lt;word&gt;"&amp;SUBSTITUTE(Tabelle1[[#This Row],[Am.Englisch]],";","&lt;/word&gt;&lt;word&gt;")&amp;"&lt;/word&gt;&lt;/solution&gt;&lt;/solutions&gt;","")</f>
        <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0" t="str">
        <f>IF(ISTEXT(Tabelle1[[#This Row],[Am.Englisch]]),"&lt;solutions&gt;&lt;solution&gt;&lt;tongue&gt;en-us&lt;/tongue&gt;&lt;word&gt;"&amp;SUBSTITUTE(Tabelle1[[#This Row],[Am.Englisch]],";","&lt;/word&gt;&lt;word&gt;")&amp;"&lt;/word&gt;&lt;/solution&gt;&lt;/solutions&gt;","")</f>
        <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1" t="str">
        <f>IF(ISTEXT(Tabelle1[[#This Row],[Am.Englisch]]),"&lt;solutions&gt;&lt;solution&gt;&lt;tongue&gt;en-us&lt;/tongue&gt;&lt;word&gt;"&amp;SUBSTITUTE(Tabelle1[[#This Row],[Am.Englisch]],";","&lt;/word&gt;&lt;word&gt;")&amp;"&lt;/word&gt;&lt;/solution&gt;&lt;/solutions&gt;","")</f>
        <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2" t="str">
        <f>IF(ISTEXT(Tabelle1[[#This Row],[Am.Englisch]]),"&lt;solutions&gt;&lt;solution&gt;&lt;tongue&gt;en-us&lt;/tongue&gt;&lt;word&gt;"&amp;SUBSTITUTE(Tabelle1[[#This Row],[Am.Englisch]],";","&lt;/word&gt;&lt;word&gt;")&amp;"&lt;/word&gt;&lt;/solution&gt;&lt;/solutions&gt;","")</f>
        <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3" t="str">
        <f>IF(ISTEXT(Tabelle1[[#This Row],[Am.Englisch]]),"&lt;solutions&gt;&lt;solution&gt;&lt;tongue&gt;en-us&lt;/tongue&gt;&lt;word&gt;"&amp;SUBSTITUTE(Tabelle1[[#This Row],[Am.Englisch]],";","&lt;/word&gt;&lt;word&gt;")&amp;"&lt;/word&gt;&lt;/solution&gt;&lt;/solutions&gt;","")</f>
        <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4" t="str">
        <f>IF(ISTEXT(Tabelle1[[#This Row],[Am.Englisch]]),"&lt;solutions&gt;&lt;solution&gt;&lt;tongue&gt;en-us&lt;/tongue&gt;&lt;word&gt;"&amp;SUBSTITUTE(Tabelle1[[#This Row],[Am.Englisch]],";","&lt;/word&gt;&lt;word&gt;")&amp;"&lt;/word&gt;&lt;/solution&gt;&lt;/solutions&gt;","")</f>
        <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5" t="str">
        <f>IF(ISTEXT(Tabelle1[[#This Row],[Am.Englisch]]),"&lt;solutions&gt;&lt;solution&gt;&lt;tongue&gt;en-us&lt;/tongue&gt;&lt;word&gt;"&amp;SUBSTITUTE(Tabelle1[[#This Row],[Am.Englisch]],";","&lt;/word&gt;&lt;word&gt;")&amp;"&lt;/word&gt;&lt;/solution&gt;&lt;/solutions&gt;","")</f>
        <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6" t="str">
        <f>IF(ISTEXT(Tabelle1[[#This Row],[Am.Englisch]]),"&lt;solutions&gt;&lt;solution&gt;&lt;tongue&gt;en-us&lt;/tongue&gt;&lt;word&gt;"&amp;SUBSTITUTE(Tabelle1[[#This Row],[Am.Englisch]],";","&lt;/word&gt;&lt;word&gt;")&amp;"&lt;/word&gt;&lt;/solution&gt;&lt;/solutions&gt;","")</f>
        <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7" t="str">
        <f>IF(ISTEXT(Tabelle1[[#This Row],[Am.Englisch]]),"&lt;solutions&gt;&lt;solution&gt;&lt;tongue&gt;en-us&lt;/tongue&gt;&lt;word&gt;"&amp;SUBSTITUTE(Tabelle1[[#This Row],[Am.Englisch]],";","&lt;/word&gt;&lt;word&gt;")&amp;"&lt;/word&gt;&lt;/solution&gt;&lt;/solutions&gt;","")</f>
        <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8" t="str">
        <f>IF(ISTEXT(Tabelle1[[#This Row],[Am.Englisch]]),"&lt;solutions&gt;&lt;solution&gt;&lt;tongue&gt;en-us&lt;/tongue&gt;&lt;word&gt;"&amp;SUBSTITUTE(Tabelle1[[#This Row],[Am.Englisch]],";","&lt;/word&gt;&lt;word&gt;")&amp;"&lt;/word&gt;&lt;/solution&gt;&lt;/solutions&gt;","")</f>
        <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9" t="str">
        <f>IF(ISTEXT(Tabelle1[[#This Row],[Am.Englisch]]),"&lt;solutions&gt;&lt;solution&gt;&lt;tongue&gt;en-us&lt;/tongue&gt;&lt;word&gt;"&amp;SUBSTITUTE(Tabelle1[[#This Row],[Am.Englisch]],";","&lt;/word&gt;&lt;word&gt;")&amp;"&lt;/word&gt;&lt;/solution&gt;&lt;/solutions&gt;","")</f>
        <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0" t="str">
        <f>IF(ISTEXT(Tabelle1[[#This Row],[Am.Englisch]]),"&lt;solutions&gt;&lt;solution&gt;&lt;tongue&gt;en-us&lt;/tongue&gt;&lt;word&gt;"&amp;SUBSTITUTE(Tabelle1[[#This Row],[Am.Englisch]],";","&lt;/word&gt;&lt;word&gt;")&amp;"&lt;/word&gt;&lt;/solution&gt;&lt;/solutions&gt;","")</f>
        <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1" t="str">
        <f>IF(ISTEXT(Tabelle1[[#This Row],[Am.Englisch]]),"&lt;solutions&gt;&lt;solution&gt;&lt;tongue&gt;en-us&lt;/tongue&gt;&lt;word&gt;"&amp;SUBSTITUTE(Tabelle1[[#This Row],[Am.Englisch]],";","&lt;/word&gt;&lt;word&gt;")&amp;"&lt;/word&gt;&lt;/solution&gt;&lt;/solutions&gt;","")</f>
        <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2" t="str">
        <f>IF(ISTEXT(Tabelle1[[#This Row],[Am.Englisch]]),"&lt;solutions&gt;&lt;solution&gt;&lt;tongue&gt;en-us&lt;/tongue&gt;&lt;word&gt;"&amp;SUBSTITUTE(Tabelle1[[#This Row],[Am.Englisch]],";","&lt;/word&gt;&lt;word&gt;")&amp;"&lt;/word&gt;&lt;/solution&gt;&lt;/solutions&gt;","")</f>
        <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3" t="str">
        <f>IF(ISTEXT(Tabelle1[[#This Row],[Am.Englisch]]),"&lt;solutions&gt;&lt;solution&gt;&lt;tongue&gt;en-us&lt;/tongue&gt;&lt;word&gt;"&amp;SUBSTITUTE(Tabelle1[[#This Row],[Am.Englisch]],";","&lt;/word&gt;&lt;word&gt;")&amp;"&lt;/word&gt;&lt;/solution&gt;&lt;/solutions&gt;","")</f>
        <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4" t="str">
        <f>IF(ISTEXT(Tabelle1[[#This Row],[Am.Englisch]]),"&lt;solutions&gt;&lt;solution&gt;&lt;tongue&gt;en-us&lt;/tongue&gt;&lt;word&gt;"&amp;SUBSTITUTE(Tabelle1[[#This Row],[Am.Englisch]],";","&lt;/word&gt;&lt;word&gt;")&amp;"&lt;/word&gt;&lt;/solution&gt;&lt;/solutions&gt;","")</f>
        <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5" t="str">
        <f>IF(ISTEXT(Tabelle1[[#This Row],[Am.Englisch]]),"&lt;solutions&gt;&lt;solution&gt;&lt;tongue&gt;en-us&lt;/tongue&gt;&lt;word&gt;"&amp;SUBSTITUTE(Tabelle1[[#This Row],[Am.Englisch]],";","&lt;/word&gt;&lt;word&gt;")&amp;"&lt;/word&gt;&lt;/solution&gt;&lt;/solutions&gt;","")</f>
        <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6" t="str">
        <f>IF(ISTEXT(Tabelle1[[#This Row],[Am.Englisch]]),"&lt;solutions&gt;&lt;solution&gt;&lt;tongue&gt;en-us&lt;/tongue&gt;&lt;word&gt;"&amp;SUBSTITUTE(Tabelle1[[#This Row],[Am.Englisch]],";","&lt;/word&gt;&lt;word&gt;")&amp;"&lt;/word&gt;&lt;/solution&gt;&lt;/solutions&gt;","")</f>
        <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7" t="str">
        <f>IF(ISTEXT(Tabelle1[[#This Row],[Am.Englisch]]),"&lt;solutions&gt;&lt;solution&gt;&lt;tongue&gt;en-us&lt;/tongue&gt;&lt;word&gt;"&amp;SUBSTITUTE(Tabelle1[[#This Row],[Am.Englisch]],";","&lt;/word&gt;&lt;word&gt;")&amp;"&lt;/word&gt;&lt;/solution&gt;&lt;/solutions&gt;","")</f>
        <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8" t="str">
        <f>IF(ISTEXT(Tabelle1[[#This Row],[Am.Englisch]]),"&lt;solutions&gt;&lt;solution&gt;&lt;tongue&gt;en-us&lt;/tongue&gt;&lt;word&gt;"&amp;SUBSTITUTE(Tabelle1[[#This Row],[Am.Englisch]],";","&lt;/word&gt;&lt;word&gt;")&amp;"&lt;/word&gt;&lt;/solution&gt;&lt;/solutions&gt;","")</f>
        <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9" t="str">
        <f>IF(ISTEXT(Tabelle1[[#This Row],[Am.Englisch]]),"&lt;solutions&gt;&lt;solution&gt;&lt;tongue&gt;en-us&lt;/tongue&gt;&lt;word&gt;"&amp;SUBSTITUTE(Tabelle1[[#This Row],[Am.Englisch]],";","&lt;/word&gt;&lt;word&gt;")&amp;"&lt;/word&gt;&lt;/solution&gt;&lt;/solutions&gt;","")</f>
        <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0" t="str">
        <f>IF(ISTEXT(Tabelle1[[#This Row],[Am.Englisch]]),"&lt;solutions&gt;&lt;solution&gt;&lt;tongue&gt;en-us&lt;/tongue&gt;&lt;word&gt;"&amp;SUBSTITUTE(Tabelle1[[#This Row],[Am.Englisch]],";","&lt;/word&gt;&lt;word&gt;")&amp;"&lt;/word&gt;&lt;/solution&gt;&lt;/solutions&gt;","")</f>
        <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1" t="str">
        <f>IF(ISTEXT(Tabelle1[[#This Row],[Am.Englisch]]),"&lt;solutions&gt;&lt;solution&gt;&lt;tongue&gt;en-us&lt;/tongue&gt;&lt;word&gt;"&amp;SUBSTITUTE(Tabelle1[[#This Row],[Am.Englisch]],";","&lt;/word&gt;&lt;word&gt;")&amp;"&lt;/word&gt;&lt;/solution&gt;&lt;/solutions&gt;","")</f>
        <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2" t="str">
        <f>IF(ISTEXT(Tabelle1[[#This Row],[Am.Englisch]]),"&lt;solutions&gt;&lt;solution&gt;&lt;tongue&gt;en-us&lt;/tongue&gt;&lt;word&gt;"&amp;SUBSTITUTE(Tabelle1[[#This Row],[Am.Englisch]],";","&lt;/word&gt;&lt;word&gt;")&amp;"&lt;/word&gt;&lt;/solution&gt;&lt;/solutions&gt;","")</f>
        <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3" t="str">
        <f>IF(ISTEXT(Tabelle1[[#This Row],[Am.Englisch]]),"&lt;solutions&gt;&lt;solution&gt;&lt;tongue&gt;en-us&lt;/tongue&gt;&lt;word&gt;"&amp;SUBSTITUTE(Tabelle1[[#This Row],[Am.Englisch]],";","&lt;/word&gt;&lt;word&gt;")&amp;"&lt;/word&gt;&lt;/solution&gt;&lt;/solutions&gt;","")</f>
        <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4" t="str">
        <f>IF(ISTEXT(Tabelle1[[#This Row],[Am.Englisch]]),"&lt;solutions&gt;&lt;solution&gt;&lt;tongue&gt;en-us&lt;/tongue&gt;&lt;word&gt;"&amp;SUBSTITUTE(Tabelle1[[#This Row],[Am.Englisch]],";","&lt;/word&gt;&lt;word&gt;")&amp;"&lt;/word&gt;&lt;/solution&gt;&lt;/solutions&gt;","")</f>
        <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5" t="str">
        <f>IF(ISTEXT(Tabelle1[[#This Row],[Am.Englisch]]),"&lt;solutions&gt;&lt;solution&gt;&lt;tongue&gt;en-us&lt;/tongue&gt;&lt;word&gt;"&amp;SUBSTITUTE(Tabelle1[[#This Row],[Am.Englisch]],";","&lt;/word&gt;&lt;word&gt;")&amp;"&lt;/word&gt;&lt;/solution&gt;&lt;/solutions&gt;","")</f>
        <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6" t="str">
        <f>IF(ISTEXT(Tabelle1[[#This Row],[Am.Englisch]]),"&lt;solutions&gt;&lt;solution&gt;&lt;tongue&gt;en-us&lt;/tongue&gt;&lt;word&gt;"&amp;SUBSTITUTE(Tabelle1[[#This Row],[Am.Englisch]],";","&lt;/word&gt;&lt;word&gt;")&amp;"&lt;/word&gt;&lt;/solution&gt;&lt;/solutions&gt;","")</f>
        <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7" t="str">
        <f>IF(ISTEXT(Tabelle1[[#This Row],[Am.Englisch]]),"&lt;solutions&gt;&lt;solution&gt;&lt;tongue&gt;en-us&lt;/tongue&gt;&lt;word&gt;"&amp;SUBSTITUTE(Tabelle1[[#This Row],[Am.Englisch]],";","&lt;/word&gt;&lt;word&gt;")&amp;"&lt;/word&gt;&lt;/solution&gt;&lt;/solutions&gt;","")</f>
        <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8" t="str">
        <f>IF(ISTEXT(Tabelle1[[#This Row],[Am.Englisch]]),"&lt;solutions&gt;&lt;solution&gt;&lt;tongue&gt;en-us&lt;/tongue&gt;&lt;word&gt;"&amp;SUBSTITUTE(Tabelle1[[#This Row],[Am.Englisch]],";","&lt;/word&gt;&lt;word&gt;")&amp;"&lt;/word&gt;&lt;/solution&gt;&lt;/solutions&gt;","")</f>
        <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9" t="str">
        <f>IF(ISTEXT(Tabelle1[[#This Row],[Am.Englisch]]),"&lt;solutions&gt;&lt;solution&gt;&lt;tongue&gt;en-us&lt;/tongue&gt;&lt;word&gt;"&amp;SUBSTITUTE(Tabelle1[[#This Row],[Am.Englisch]],";","&lt;/word&gt;&lt;word&gt;")&amp;"&lt;/word&gt;&lt;/solution&gt;&lt;/solutions&gt;","")</f>
        <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0" t="str">
        <f>IF(ISTEXT(Tabelle1[[#This Row],[Am.Englisch]]),"&lt;solutions&gt;&lt;solution&gt;&lt;tongue&gt;en-us&lt;/tongue&gt;&lt;word&gt;"&amp;SUBSTITUTE(Tabelle1[[#This Row],[Am.Englisch]],";","&lt;/word&gt;&lt;word&gt;")&amp;"&lt;/word&gt;&lt;/solution&gt;&lt;/solutions&gt;","")</f>
        <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1" t="str">
        <f>IF(ISTEXT(Tabelle1[[#This Row],[Am.Englisch]]),"&lt;solutions&gt;&lt;solution&gt;&lt;tongue&gt;en-us&lt;/tongue&gt;&lt;word&gt;"&amp;SUBSTITUTE(Tabelle1[[#This Row],[Am.Englisch]],";","&lt;/word&gt;&lt;word&gt;")&amp;"&lt;/word&gt;&lt;/solution&gt;&lt;/solutions&gt;","")</f>
        <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2" t="str">
        <f>IF(ISTEXT(Tabelle1[[#This Row],[Am.Englisch]]),"&lt;solutions&gt;&lt;solution&gt;&lt;tongue&gt;en-us&lt;/tongue&gt;&lt;word&gt;"&amp;SUBSTITUTE(Tabelle1[[#This Row],[Am.Englisch]],";","&lt;/word&gt;&lt;word&gt;")&amp;"&lt;/word&gt;&lt;/solution&gt;&lt;/solutions&gt;","")</f>
        <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3" t="str">
        <f>IF(ISTEXT(Tabelle1[[#This Row],[Am.Englisch]]),"&lt;solutions&gt;&lt;solution&gt;&lt;tongue&gt;en-us&lt;/tongue&gt;&lt;word&gt;"&amp;SUBSTITUTE(Tabelle1[[#This Row],[Am.Englisch]],";","&lt;/word&gt;&lt;word&gt;")&amp;"&lt;/word&gt;&lt;/solution&gt;&lt;/solutions&gt;","")</f>
        <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4" t="str">
        <f>IF(ISTEXT(Tabelle1[[#This Row],[Am.Englisch]]),"&lt;solutions&gt;&lt;solution&gt;&lt;tongue&gt;en-us&lt;/tongue&gt;&lt;word&gt;"&amp;SUBSTITUTE(Tabelle1[[#This Row],[Am.Englisch]],";","&lt;/word&gt;&lt;word&gt;")&amp;"&lt;/word&gt;&lt;/solution&gt;&lt;/solutions&gt;","")</f>
        <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5" t="str">
        <f>IF(ISTEXT(Tabelle1[[#This Row],[Am.Englisch]]),"&lt;solutions&gt;&lt;solution&gt;&lt;tongue&gt;en-us&lt;/tongue&gt;&lt;word&gt;"&amp;SUBSTITUTE(Tabelle1[[#This Row],[Am.Englisch]],";","&lt;/word&gt;&lt;word&gt;")&amp;"&lt;/word&gt;&lt;/solution&gt;&lt;/solutions&gt;","")</f>
        <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6" t="str">
        <f>IF(ISTEXT(Tabelle1[[#This Row],[Am.Englisch]]),"&lt;solutions&gt;&lt;solution&gt;&lt;tongue&gt;en-us&lt;/tongue&gt;&lt;word&gt;"&amp;SUBSTITUTE(Tabelle1[[#This Row],[Am.Englisch]],";","&lt;/word&gt;&lt;word&gt;")&amp;"&lt;/word&gt;&lt;/solution&gt;&lt;/solutions&gt;","")</f>
        <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7" t="str">
        <f>IF(ISTEXT(Tabelle1[[#This Row],[Am.Englisch]]),"&lt;solutions&gt;&lt;solution&gt;&lt;tongue&gt;en-us&lt;/tongue&gt;&lt;word&gt;"&amp;SUBSTITUTE(Tabelle1[[#This Row],[Am.Englisch]],";","&lt;/word&gt;&lt;word&gt;")&amp;"&lt;/word&gt;&lt;/solution&gt;&lt;/solutions&gt;","")</f>
        <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8" t="str">
        <f>IF(ISTEXT(Tabelle1[[#This Row],[Am.Englisch]]),"&lt;solutions&gt;&lt;solution&gt;&lt;tongue&gt;en-us&lt;/tongue&gt;&lt;word&gt;"&amp;SUBSTITUTE(Tabelle1[[#This Row],[Am.Englisch]],";","&lt;/word&gt;&lt;word&gt;")&amp;"&lt;/word&gt;&lt;/solution&gt;&lt;/solutions&gt;","")</f>
        <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9" t="str">
        <f>IF(ISTEXT(Tabelle1[[#This Row],[Am.Englisch]]),"&lt;solutions&gt;&lt;solution&gt;&lt;tongue&gt;en-us&lt;/tongue&gt;&lt;word&gt;"&amp;SUBSTITUTE(Tabelle1[[#This Row],[Am.Englisch]],";","&lt;/word&gt;&lt;word&gt;")&amp;"&lt;/word&gt;&lt;/solution&gt;&lt;/solutions&gt;","")</f>
        <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0" t="str">
        <f>IF(ISTEXT(Tabelle1[[#This Row],[Am.Englisch]]),"&lt;solutions&gt;&lt;solution&gt;&lt;tongue&gt;en-us&lt;/tongue&gt;&lt;word&gt;"&amp;SUBSTITUTE(Tabelle1[[#This Row],[Am.Englisch]],";","&lt;/word&gt;&lt;word&gt;")&amp;"&lt;/word&gt;&lt;/solution&gt;&lt;/solutions&gt;","")</f>
        <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1" t="str">
        <f>IF(ISTEXT(Tabelle1[[#This Row],[Am.Englisch]]),"&lt;solutions&gt;&lt;solution&gt;&lt;tongue&gt;en-us&lt;/tongue&gt;&lt;word&gt;"&amp;SUBSTITUTE(Tabelle1[[#This Row],[Am.Englisch]],";","&lt;/word&gt;&lt;word&gt;")&amp;"&lt;/word&gt;&lt;/solution&gt;&lt;/solutions&gt;","")</f>
        <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2" t="str">
        <f>IF(ISTEXT(Tabelle1[[#This Row],[Am.Englisch]]),"&lt;solutions&gt;&lt;solution&gt;&lt;tongue&gt;en-us&lt;/tongue&gt;&lt;word&gt;"&amp;SUBSTITUTE(Tabelle1[[#This Row],[Am.Englisch]],";","&lt;/word&gt;&lt;word&gt;")&amp;"&lt;/word&gt;&lt;/solution&gt;&lt;/solutions&gt;","")</f>
        <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3" t="str">
        <f>IF(ISTEXT(Tabelle1[[#This Row],[Am.Englisch]]),"&lt;solutions&gt;&lt;solution&gt;&lt;tongue&gt;en-us&lt;/tongue&gt;&lt;word&gt;"&amp;SUBSTITUTE(Tabelle1[[#This Row],[Am.Englisch]],";","&lt;/word&gt;&lt;word&gt;")&amp;"&lt;/word&gt;&lt;/solution&gt;&lt;/solutions&gt;","")</f>
        <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4" t="str">
        <f>IF(ISTEXT(Tabelle1[[#This Row],[Am.Englisch]]),"&lt;solutions&gt;&lt;solution&gt;&lt;tongue&gt;en-us&lt;/tongue&gt;&lt;word&gt;"&amp;SUBSTITUTE(Tabelle1[[#This Row],[Am.Englisch]],";","&lt;/word&gt;&lt;word&gt;")&amp;"&lt;/word&gt;&lt;/solution&gt;&lt;/solutions&gt;","")</f>
        <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5" t="str">
        <f>IF(ISTEXT(Tabelle1[[#This Row],[Am.Englisch]]),"&lt;solutions&gt;&lt;solution&gt;&lt;tongue&gt;en-us&lt;/tongue&gt;&lt;word&gt;"&amp;SUBSTITUTE(Tabelle1[[#This Row],[Am.Englisch]],";","&lt;/word&gt;&lt;word&gt;")&amp;"&lt;/word&gt;&lt;/solution&gt;&lt;/solutions&gt;","")</f>
        <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6" t="str">
        <f>IF(ISTEXT(Tabelle1[[#This Row],[Am.Englisch]]),"&lt;solutions&gt;&lt;solution&gt;&lt;tongue&gt;en-us&lt;/tongue&gt;&lt;word&gt;"&amp;SUBSTITUTE(Tabelle1[[#This Row],[Am.Englisch]],";","&lt;/word&gt;&lt;word&gt;")&amp;"&lt;/word&gt;&lt;/solution&gt;&lt;/solutions&gt;","")</f>
        <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7" t="str">
        <f>IF(ISTEXT(Tabelle1[[#This Row],[Am.Englisch]]),"&lt;solutions&gt;&lt;solution&gt;&lt;tongue&gt;en-us&lt;/tongue&gt;&lt;word&gt;"&amp;SUBSTITUTE(Tabelle1[[#This Row],[Am.Englisch]],";","&lt;/word&gt;&lt;word&gt;")&amp;"&lt;/word&gt;&lt;/solution&gt;&lt;/solutions&gt;","")</f>
        <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8" t="str">
        <f>IF(ISTEXT(Tabelle1[[#This Row],[Am.Englisch]]),"&lt;solutions&gt;&lt;solution&gt;&lt;tongue&gt;en-us&lt;/tongue&gt;&lt;word&gt;"&amp;SUBSTITUTE(Tabelle1[[#This Row],[Am.Englisch]],";","&lt;/word&gt;&lt;word&gt;")&amp;"&lt;/word&gt;&lt;/solution&gt;&lt;/solutions&gt;","")</f>
        <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9" t="str">
        <f>IF(ISTEXT(Tabelle1[[#This Row],[Am.Englisch]]),"&lt;solutions&gt;&lt;solution&gt;&lt;tongue&gt;en-us&lt;/tongue&gt;&lt;word&gt;"&amp;SUBSTITUTE(Tabelle1[[#This Row],[Am.Englisch]],";","&lt;/word&gt;&lt;word&gt;")&amp;"&lt;/word&gt;&lt;/solution&gt;&lt;/solutions&gt;","")</f>
        <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0" t="str">
        <f>IF(ISTEXT(Tabelle1[[#This Row],[Am.Englisch]]),"&lt;solutions&gt;&lt;solution&gt;&lt;tongue&gt;en-us&lt;/tongue&gt;&lt;word&gt;"&amp;SUBSTITUTE(Tabelle1[[#This Row],[Am.Englisch]],";","&lt;/word&gt;&lt;word&gt;")&amp;"&lt;/word&gt;&lt;/solution&gt;&lt;/solutions&gt;","")</f>
        <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1" t="str">
        <f>IF(ISTEXT(Tabelle1[[#This Row],[Am.Englisch]]),"&lt;solutions&gt;&lt;solution&gt;&lt;tongue&gt;en-us&lt;/tongue&gt;&lt;word&gt;"&amp;SUBSTITUTE(Tabelle1[[#This Row],[Am.Englisch]],";","&lt;/word&gt;&lt;word&gt;")&amp;"&lt;/word&gt;&lt;/solution&gt;&lt;/solutions&gt;","")</f>
        <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2" t="str">
        <f>IF(ISTEXT(Tabelle1[[#This Row],[Am.Englisch]]),"&lt;solutions&gt;&lt;solution&gt;&lt;tongue&gt;en-us&lt;/tongue&gt;&lt;word&gt;"&amp;SUBSTITUTE(Tabelle1[[#This Row],[Am.Englisch]],";","&lt;/word&gt;&lt;word&gt;")&amp;"&lt;/word&gt;&lt;/solution&gt;&lt;/solutions&gt;","")</f>
        <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3" t="str">
        <f>IF(ISTEXT(Tabelle1[[#This Row],[Am.Englisch]]),"&lt;solutions&gt;&lt;solution&gt;&lt;tongue&gt;en-us&lt;/tongue&gt;&lt;word&gt;"&amp;SUBSTITUTE(Tabelle1[[#This Row],[Am.Englisch]],";","&lt;/word&gt;&lt;word&gt;")&amp;"&lt;/word&gt;&lt;/solution&gt;&lt;/solutions&gt;","")</f>
        <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4" t="str">
        <f>IF(ISTEXT(Tabelle1[[#This Row],[Am.Englisch]]),"&lt;solutions&gt;&lt;solution&gt;&lt;tongue&gt;en-us&lt;/tongue&gt;&lt;word&gt;"&amp;SUBSTITUTE(Tabelle1[[#This Row],[Am.Englisch]],";","&lt;/word&gt;&lt;word&gt;")&amp;"&lt;/word&gt;&lt;/solution&gt;&lt;/solutions&gt;","")</f>
        <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5" t="str">
        <f>IF(ISTEXT(Tabelle1[[#This Row],[Am.Englisch]]),"&lt;solutions&gt;&lt;solution&gt;&lt;tongue&gt;en-us&lt;/tongue&gt;&lt;word&gt;"&amp;SUBSTITUTE(Tabelle1[[#This Row],[Am.Englisch]],";","&lt;/word&gt;&lt;word&gt;")&amp;"&lt;/word&gt;&lt;/solution&gt;&lt;/solutions&gt;","")</f>
        <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6" t="str">
        <f>IF(ISTEXT(Tabelle1[[#This Row],[Am.Englisch]]),"&lt;solutions&gt;&lt;solution&gt;&lt;tongue&gt;en-us&lt;/tongue&gt;&lt;word&gt;"&amp;SUBSTITUTE(Tabelle1[[#This Row],[Am.Englisch]],";","&lt;/word&gt;&lt;word&gt;")&amp;"&lt;/word&gt;&lt;/solution&gt;&lt;/solutions&gt;","")</f>
        <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7" t="str">
        <f>IF(ISTEXT(Tabelle1[[#This Row],[Am.Englisch]]),"&lt;solutions&gt;&lt;solution&gt;&lt;tongue&gt;en-us&lt;/tongue&gt;&lt;word&gt;"&amp;SUBSTITUTE(Tabelle1[[#This Row],[Am.Englisch]],";","&lt;/word&gt;&lt;word&gt;")&amp;"&lt;/word&gt;&lt;/solution&gt;&lt;/solutions&gt;","")</f>
        <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8" t="str">
        <f>IF(ISTEXT(Tabelle1[[#This Row],[Am.Englisch]]),"&lt;solutions&gt;&lt;solution&gt;&lt;tongue&gt;en-us&lt;/tongue&gt;&lt;word&gt;"&amp;SUBSTITUTE(Tabelle1[[#This Row],[Am.Englisch]],";","&lt;/word&gt;&lt;word&gt;")&amp;"&lt;/word&gt;&lt;/solution&gt;&lt;/solutions&gt;","")</f>
        <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9" t="str">
        <f>IF(ISTEXT(Tabelle1[[#This Row],[Am.Englisch]]),"&lt;solutions&gt;&lt;solution&gt;&lt;tongue&gt;en-us&lt;/tongue&gt;&lt;word&gt;"&amp;SUBSTITUTE(Tabelle1[[#This Row],[Am.Englisch]],";","&lt;/word&gt;&lt;word&gt;")&amp;"&lt;/word&gt;&lt;/solution&gt;&lt;/solutions&gt;","")</f>
        <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0" t="str">
        <f>IF(ISTEXT(Tabelle1[[#This Row],[Am.Englisch]]),"&lt;solutions&gt;&lt;solution&gt;&lt;tongue&gt;en-us&lt;/tongue&gt;&lt;word&gt;"&amp;SUBSTITUTE(Tabelle1[[#This Row],[Am.Englisch]],";","&lt;/word&gt;&lt;word&gt;")&amp;"&lt;/word&gt;&lt;/solution&gt;&lt;/solutions&gt;","")</f>
        <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1" t="str">
        <f>IF(ISTEXT(Tabelle1[[#This Row],[Am.Englisch]]),"&lt;solutions&gt;&lt;solution&gt;&lt;tongue&gt;en-us&lt;/tongue&gt;&lt;word&gt;"&amp;SUBSTITUTE(Tabelle1[[#This Row],[Am.Englisch]],";","&lt;/word&gt;&lt;word&gt;")&amp;"&lt;/word&gt;&lt;/solution&gt;&lt;/solutions&gt;","")</f>
        <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2" t="str">
        <f>IF(ISTEXT(Tabelle1[[#This Row],[Am.Englisch]]),"&lt;solutions&gt;&lt;solution&gt;&lt;tongue&gt;en-us&lt;/tongue&gt;&lt;word&gt;"&amp;SUBSTITUTE(Tabelle1[[#This Row],[Am.Englisch]],";","&lt;/word&gt;&lt;word&gt;")&amp;"&lt;/word&gt;&lt;/solution&gt;&lt;/solutions&gt;","")</f>
        <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3" t="str">
        <f>IF(ISTEXT(Tabelle1[[#This Row],[Am.Englisch]]),"&lt;solutions&gt;&lt;solution&gt;&lt;tongue&gt;en-us&lt;/tongue&gt;&lt;word&gt;"&amp;SUBSTITUTE(Tabelle1[[#This Row],[Am.Englisch]],";","&lt;/word&gt;&lt;word&gt;")&amp;"&lt;/word&gt;&lt;/solution&gt;&lt;/solutions&gt;","")</f>
        <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4" t="str">
        <f>IF(ISTEXT(Tabelle1[[#This Row],[Am.Englisch]]),"&lt;solutions&gt;&lt;solution&gt;&lt;tongue&gt;en-us&lt;/tongue&gt;&lt;word&gt;"&amp;SUBSTITUTE(Tabelle1[[#This Row],[Am.Englisch]],";","&lt;/word&gt;&lt;word&gt;")&amp;"&lt;/word&gt;&lt;/solution&gt;&lt;/solutions&gt;","")</f>
        <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5" t="str">
        <f>IF(ISTEXT(Tabelle1[[#This Row],[Am.Englisch]]),"&lt;solutions&gt;&lt;solution&gt;&lt;tongue&gt;en-us&lt;/tongue&gt;&lt;word&gt;"&amp;SUBSTITUTE(Tabelle1[[#This Row],[Am.Englisch]],";","&lt;/word&gt;&lt;word&gt;")&amp;"&lt;/word&gt;&lt;/solution&gt;&lt;/solutions&gt;","")</f>
        <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6" t="str">
        <f>IF(ISTEXT(Tabelle1[[#This Row],[Am.Englisch]]),"&lt;solutions&gt;&lt;solution&gt;&lt;tongue&gt;en-us&lt;/tongue&gt;&lt;word&gt;"&amp;SUBSTITUTE(Tabelle1[[#This Row],[Am.Englisch]],";","&lt;/word&gt;&lt;word&gt;")&amp;"&lt;/word&gt;&lt;/solution&gt;&lt;/solutions&gt;","")</f>
        <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7" t="str">
        <f>IF(ISTEXT(Tabelle1[[#This Row],[Am.Englisch]]),"&lt;solutions&gt;&lt;solution&gt;&lt;tongue&gt;en-us&lt;/tongue&gt;&lt;word&gt;"&amp;SUBSTITUTE(Tabelle1[[#This Row],[Am.Englisch]],";","&lt;/word&gt;&lt;word&gt;")&amp;"&lt;/word&gt;&lt;/solution&gt;&lt;/solutions&gt;","")</f>
        <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8" t="str">
        <f>IF(ISTEXT(Tabelle1[[#This Row],[Am.Englisch]]),"&lt;solutions&gt;&lt;solution&gt;&lt;tongue&gt;en-us&lt;/tongue&gt;&lt;word&gt;"&amp;SUBSTITUTE(Tabelle1[[#This Row],[Am.Englisch]],";","&lt;/word&gt;&lt;word&gt;")&amp;"&lt;/word&gt;&lt;/solution&gt;&lt;/solutions&gt;","")</f>
        <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9" t="str">
        <f>IF(ISTEXT(Tabelle1[[#This Row],[Am.Englisch]]),"&lt;solutions&gt;&lt;solution&gt;&lt;tongue&gt;en-us&lt;/tongue&gt;&lt;word&gt;"&amp;SUBSTITUTE(Tabelle1[[#This Row],[Am.Englisch]],";","&lt;/word&gt;&lt;word&gt;")&amp;"&lt;/word&gt;&lt;/solution&gt;&lt;/solutions&gt;","")</f>
        <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0" t="str">
        <f>IF(ISTEXT(Tabelle1[[#This Row],[Am.Englisch]]),"&lt;solutions&gt;&lt;solution&gt;&lt;tongue&gt;en-us&lt;/tongue&gt;&lt;word&gt;"&amp;SUBSTITUTE(Tabelle1[[#This Row],[Am.Englisch]],";","&lt;/word&gt;&lt;word&gt;")&amp;"&lt;/word&gt;&lt;/solution&gt;&lt;/solutions&gt;","")</f>
        <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1" t="str">
        <f>IF(ISTEXT(Tabelle1[[#This Row],[Am.Englisch]]),"&lt;solutions&gt;&lt;solution&gt;&lt;tongue&gt;en-us&lt;/tongue&gt;&lt;word&gt;"&amp;SUBSTITUTE(Tabelle1[[#This Row],[Am.Englisch]],";","&lt;/word&gt;&lt;word&gt;")&amp;"&lt;/word&gt;&lt;/solution&gt;&lt;/solutions&gt;","")</f>
        <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2" t="str">
        <f>IF(ISTEXT(Tabelle1[[#This Row],[Am.Englisch]]),"&lt;solutions&gt;&lt;solution&gt;&lt;tongue&gt;en-us&lt;/tongue&gt;&lt;word&gt;"&amp;SUBSTITUTE(Tabelle1[[#This Row],[Am.Englisch]],";","&lt;/word&gt;&lt;word&gt;")&amp;"&lt;/word&gt;&lt;/solution&gt;&lt;/solutions&gt;","")</f>
        <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3" t="str">
        <f>IF(ISTEXT(Tabelle1[[#This Row],[Am.Englisch]]),"&lt;solutions&gt;&lt;solution&gt;&lt;tongue&gt;en-us&lt;/tongue&gt;&lt;word&gt;"&amp;SUBSTITUTE(Tabelle1[[#This Row],[Am.Englisch]],";","&lt;/word&gt;&lt;word&gt;")&amp;"&lt;/word&gt;&lt;/solution&gt;&lt;/solutions&gt;","")</f>
        <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4" t="str">
        <f>IF(ISTEXT(Tabelle1[[#This Row],[Am.Englisch]]),"&lt;solutions&gt;&lt;solution&gt;&lt;tongue&gt;en-us&lt;/tongue&gt;&lt;word&gt;"&amp;SUBSTITUTE(Tabelle1[[#This Row],[Am.Englisch]],";","&lt;/word&gt;&lt;word&gt;")&amp;"&lt;/word&gt;&lt;/solution&gt;&lt;/solutions&gt;","")</f>
        <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5" t="str">
        <f>IF(ISTEXT(Tabelle1[[#This Row],[Am.Englisch]]),"&lt;solutions&gt;&lt;solution&gt;&lt;tongue&gt;en-us&lt;/tongue&gt;&lt;word&gt;"&amp;SUBSTITUTE(Tabelle1[[#This Row],[Am.Englisch]],";","&lt;/word&gt;&lt;word&gt;")&amp;"&lt;/word&gt;&lt;/solution&gt;&lt;/solutions&gt;","")</f>
        <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6" t="str">
        <f>IF(ISTEXT(Tabelle1[[#This Row],[Am.Englisch]]),"&lt;solutions&gt;&lt;solution&gt;&lt;tongue&gt;en-us&lt;/tongue&gt;&lt;word&gt;"&amp;SUBSTITUTE(Tabelle1[[#This Row],[Am.Englisch]],";","&lt;/word&gt;&lt;word&gt;")&amp;"&lt;/word&gt;&lt;/solution&gt;&lt;/solutions&gt;","")</f>
        <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7" t="str">
        <f>IF(ISTEXT(Tabelle1[[#This Row],[Am.Englisch]]),"&lt;solutions&gt;&lt;solution&gt;&lt;tongue&gt;en-us&lt;/tongue&gt;&lt;word&gt;"&amp;SUBSTITUTE(Tabelle1[[#This Row],[Am.Englisch]],";","&lt;/word&gt;&lt;word&gt;")&amp;"&lt;/word&gt;&lt;/solution&gt;&lt;/solutions&gt;","")</f>
        <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8" t="str">
        <f>IF(ISTEXT(Tabelle1[[#This Row],[Am.Englisch]]),"&lt;solutions&gt;&lt;solution&gt;&lt;tongue&gt;en-us&lt;/tongue&gt;&lt;word&gt;"&amp;SUBSTITUTE(Tabelle1[[#This Row],[Am.Englisch]],";","&lt;/word&gt;&lt;word&gt;")&amp;"&lt;/word&gt;&lt;/solution&gt;&lt;/solutions&gt;","")</f>
        <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9" t="str">
        <f>IF(ISTEXT(Tabelle1[[#This Row],[Am.Englisch]]),"&lt;solutions&gt;&lt;solution&gt;&lt;tongue&gt;en-us&lt;/tongue&gt;&lt;word&gt;"&amp;SUBSTITUTE(Tabelle1[[#This Row],[Am.Englisch]],";","&lt;/word&gt;&lt;word&gt;")&amp;"&lt;/word&gt;&lt;/solution&gt;&lt;/solutions&gt;","")</f>
        <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0" t="str">
        <f>IF(ISTEXT(Tabelle1[[#This Row],[Am.Englisch]]),"&lt;solutions&gt;&lt;solution&gt;&lt;tongue&gt;en-us&lt;/tongue&gt;&lt;word&gt;"&amp;SUBSTITUTE(Tabelle1[[#This Row],[Am.Englisch]],";","&lt;/word&gt;&lt;word&gt;")&amp;"&lt;/word&gt;&lt;/solution&gt;&lt;/solutions&gt;","")</f>
        <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1" t="str">
        <f>IF(ISTEXT(Tabelle1[[#This Row],[Am.Englisch]]),"&lt;solutions&gt;&lt;solution&gt;&lt;tongue&gt;en-us&lt;/tongue&gt;&lt;word&gt;"&amp;SUBSTITUTE(Tabelle1[[#This Row],[Am.Englisch]],";","&lt;/word&gt;&lt;word&gt;")&amp;"&lt;/word&gt;&lt;/solution&gt;&lt;/solutions&gt;","")</f>
        <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2" t="str">
        <f>IF(ISTEXT(Tabelle1[[#This Row],[Am.Englisch]]),"&lt;solutions&gt;&lt;solution&gt;&lt;tongue&gt;en-us&lt;/tongue&gt;&lt;word&gt;"&amp;SUBSTITUTE(Tabelle1[[#This Row],[Am.Englisch]],";","&lt;/word&gt;&lt;word&gt;")&amp;"&lt;/word&gt;&lt;/solution&gt;&lt;/solutions&gt;","")</f>
        <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3" t="str">
        <f>IF(ISTEXT(Tabelle1[[#This Row],[Am.Englisch]]),"&lt;solutions&gt;&lt;solution&gt;&lt;tongue&gt;en-us&lt;/tongue&gt;&lt;word&gt;"&amp;SUBSTITUTE(Tabelle1[[#This Row],[Am.Englisch]],";","&lt;/word&gt;&lt;word&gt;")&amp;"&lt;/word&gt;&lt;/solution&gt;&lt;/solutions&gt;","")</f>
        <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4" t="str">
        <f>IF(ISTEXT(Tabelle1[[#This Row],[Am.Englisch]]),"&lt;solutions&gt;&lt;solution&gt;&lt;tongue&gt;en-us&lt;/tongue&gt;&lt;word&gt;"&amp;SUBSTITUTE(Tabelle1[[#This Row],[Am.Englisch]],";","&lt;/word&gt;&lt;word&gt;")&amp;"&lt;/word&gt;&lt;/solution&gt;&lt;/solutions&gt;","")</f>
        <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5" t="str">
        <f>IF(ISTEXT(Tabelle1[[#This Row],[Am.Englisch]]),"&lt;solutions&gt;&lt;solution&gt;&lt;tongue&gt;en-us&lt;/tongue&gt;&lt;word&gt;"&amp;SUBSTITUTE(Tabelle1[[#This Row],[Am.Englisch]],";","&lt;/word&gt;&lt;word&gt;")&amp;"&lt;/word&gt;&lt;/solution&gt;&lt;/solutions&gt;","")</f>
        <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6" t="str">
        <f>IF(ISTEXT(Tabelle1[[#This Row],[Am.Englisch]]),"&lt;solutions&gt;&lt;solution&gt;&lt;tongue&gt;en-us&lt;/tongue&gt;&lt;word&gt;"&amp;SUBSTITUTE(Tabelle1[[#This Row],[Am.Englisch]],";","&lt;/word&gt;&lt;word&gt;")&amp;"&lt;/word&gt;&lt;/solution&gt;&lt;/solutions&gt;","")</f>
        <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7" t="str">
        <f>IF(ISTEXT(Tabelle1[[#This Row],[Am.Englisch]]),"&lt;solutions&gt;&lt;solution&gt;&lt;tongue&gt;en-us&lt;/tongue&gt;&lt;word&gt;"&amp;SUBSTITUTE(Tabelle1[[#This Row],[Am.Englisch]],";","&lt;/word&gt;&lt;word&gt;")&amp;"&lt;/word&gt;&lt;/solution&gt;&lt;/solutions&gt;","")</f>
        <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8" t="str">
        <f>IF(ISTEXT(Tabelle1[[#This Row],[Am.Englisch]]),"&lt;solutions&gt;&lt;solution&gt;&lt;tongue&gt;en-us&lt;/tongue&gt;&lt;word&gt;"&amp;SUBSTITUTE(Tabelle1[[#This Row],[Am.Englisch]],";","&lt;/word&gt;&lt;word&gt;")&amp;"&lt;/word&gt;&lt;/solution&gt;&lt;/solutions&gt;","")</f>
        <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9" t="str">
        <f>IF(ISTEXT(Tabelle1[[#This Row],[Am.Englisch]]),"&lt;solutions&gt;&lt;solution&gt;&lt;tongue&gt;en-us&lt;/tongue&gt;&lt;word&gt;"&amp;SUBSTITUTE(Tabelle1[[#This Row],[Am.Englisch]],";","&lt;/word&gt;&lt;word&gt;")&amp;"&lt;/word&gt;&lt;/solution&gt;&lt;/solutions&gt;","")</f>
        <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0" t="str">
        <f>IF(ISTEXT(Tabelle1[[#This Row],[Am.Englisch]]),"&lt;solutions&gt;&lt;solution&gt;&lt;tongue&gt;en-us&lt;/tongue&gt;&lt;word&gt;"&amp;SUBSTITUTE(Tabelle1[[#This Row],[Am.Englisch]],";","&lt;/word&gt;&lt;word&gt;")&amp;"&lt;/word&gt;&lt;/solution&gt;&lt;/solutions&gt;","")</f>
        <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1" t="str">
        <f>IF(ISTEXT(Tabelle1[[#This Row],[Am.Englisch]]),"&lt;solutions&gt;&lt;solution&gt;&lt;tongue&gt;en-us&lt;/tongue&gt;&lt;word&gt;"&amp;SUBSTITUTE(Tabelle1[[#This Row],[Am.Englisch]],";","&lt;/word&gt;&lt;word&gt;")&amp;"&lt;/word&gt;&lt;/solution&gt;&lt;/solutions&gt;","")</f>
        <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2" t="str">
        <f>IF(ISTEXT(Tabelle1[[#This Row],[Am.Englisch]]),"&lt;solutions&gt;&lt;solution&gt;&lt;tongue&gt;en-us&lt;/tongue&gt;&lt;word&gt;"&amp;SUBSTITUTE(Tabelle1[[#This Row],[Am.Englisch]],";","&lt;/word&gt;&lt;word&gt;")&amp;"&lt;/word&gt;&lt;/solution&gt;&lt;/solutions&gt;","")</f>
        <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3" t="str">
        <f>IF(ISTEXT(Tabelle1[[#This Row],[Am.Englisch]]),"&lt;solutions&gt;&lt;solution&gt;&lt;tongue&gt;en-us&lt;/tongue&gt;&lt;word&gt;"&amp;SUBSTITUTE(Tabelle1[[#This Row],[Am.Englisch]],";","&lt;/word&gt;&lt;word&gt;")&amp;"&lt;/word&gt;&lt;/solution&gt;&lt;/solutions&gt;","")</f>
        <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4" t="str">
        <f>IF(ISTEXT(Tabelle1[[#This Row],[Am.Englisch]]),"&lt;solutions&gt;&lt;solution&gt;&lt;tongue&gt;en-us&lt;/tongue&gt;&lt;word&gt;"&amp;SUBSTITUTE(Tabelle1[[#This Row],[Am.Englisch]],";","&lt;/word&gt;&lt;word&gt;")&amp;"&lt;/word&gt;&lt;/solution&gt;&lt;/solutions&gt;","")</f>
        <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5" t="str">
        <f>IF(ISTEXT(Tabelle1[[#This Row],[Am.Englisch]]),"&lt;solutions&gt;&lt;solution&gt;&lt;tongue&gt;en-us&lt;/tongue&gt;&lt;word&gt;"&amp;SUBSTITUTE(Tabelle1[[#This Row],[Am.Englisch]],";","&lt;/word&gt;&lt;word&gt;")&amp;"&lt;/word&gt;&lt;/solution&gt;&lt;/solutions&gt;","")</f>
        <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6" t="str">
        <f>IF(ISTEXT(Tabelle1[[#This Row],[Am.Englisch]]),"&lt;solutions&gt;&lt;solution&gt;&lt;tongue&gt;en-us&lt;/tongue&gt;&lt;word&gt;"&amp;SUBSTITUTE(Tabelle1[[#This Row],[Am.Englisch]],";","&lt;/word&gt;&lt;word&gt;")&amp;"&lt;/word&gt;&lt;/solution&gt;&lt;/solutions&gt;","")</f>
        <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7" t="str">
        <f>IF(ISTEXT(Tabelle1[[#This Row],[Am.Englisch]]),"&lt;solutions&gt;&lt;solution&gt;&lt;tongue&gt;en-us&lt;/tongue&gt;&lt;word&gt;"&amp;SUBSTITUTE(Tabelle1[[#This Row],[Am.Englisch]],";","&lt;/word&gt;&lt;word&gt;")&amp;"&lt;/word&gt;&lt;/solution&gt;&lt;/solutions&gt;","")</f>
        <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8" t="str">
        <f>IF(ISTEXT(Tabelle1[[#This Row],[Am.Englisch]]),"&lt;solutions&gt;&lt;solution&gt;&lt;tongue&gt;en-us&lt;/tongue&gt;&lt;word&gt;"&amp;SUBSTITUTE(Tabelle1[[#This Row],[Am.Englisch]],";","&lt;/word&gt;&lt;word&gt;")&amp;"&lt;/word&gt;&lt;/solution&gt;&lt;/solutions&gt;","")</f>
        <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9" t="str">
        <f>IF(ISTEXT(Tabelle1[[#This Row],[Am.Englisch]]),"&lt;solutions&gt;&lt;solution&gt;&lt;tongue&gt;en-us&lt;/tongue&gt;&lt;word&gt;"&amp;SUBSTITUTE(Tabelle1[[#This Row],[Am.Englisch]],";","&lt;/word&gt;&lt;word&gt;")&amp;"&lt;/word&gt;&lt;/solution&gt;&lt;/solutions&gt;","")</f>
        <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0" t="str">
        <f>IF(ISTEXT(Tabelle1[[#This Row],[Am.Englisch]]),"&lt;solutions&gt;&lt;solution&gt;&lt;tongue&gt;en-us&lt;/tongue&gt;&lt;word&gt;"&amp;SUBSTITUTE(Tabelle1[[#This Row],[Am.Englisch]],";","&lt;/word&gt;&lt;word&gt;")&amp;"&lt;/word&gt;&lt;/solution&gt;&lt;/solutions&gt;","")</f>
        <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1" t="str">
        <f>IF(ISTEXT(Tabelle1[[#This Row],[Am.Englisch]]),"&lt;solutions&gt;&lt;solution&gt;&lt;tongue&gt;en-us&lt;/tongue&gt;&lt;word&gt;"&amp;SUBSTITUTE(Tabelle1[[#This Row],[Am.Englisch]],";","&lt;/word&gt;&lt;word&gt;")&amp;"&lt;/word&gt;&lt;/solution&gt;&lt;/solutions&gt;","")</f>
        <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2" t="str">
        <f>IF(ISTEXT(Tabelle1[[#This Row],[Am.Englisch]]),"&lt;solutions&gt;&lt;solution&gt;&lt;tongue&gt;en-us&lt;/tongue&gt;&lt;word&gt;"&amp;SUBSTITUTE(Tabelle1[[#This Row],[Am.Englisch]],";","&lt;/word&gt;&lt;word&gt;")&amp;"&lt;/word&gt;&lt;/solution&gt;&lt;/solutions&gt;","")</f>
        <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3" t="str">
        <f>IF(ISTEXT(Tabelle1[[#This Row],[Am.Englisch]]),"&lt;solutions&gt;&lt;solution&gt;&lt;tongue&gt;en-us&lt;/tongue&gt;&lt;word&gt;"&amp;SUBSTITUTE(Tabelle1[[#This Row],[Am.Englisch]],";","&lt;/word&gt;&lt;word&gt;")&amp;"&lt;/word&gt;&lt;/solution&gt;&lt;/solutions&gt;","")</f>
        <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4" t="str">
        <f>IF(ISTEXT(Tabelle1[[#This Row],[Am.Englisch]]),"&lt;solutions&gt;&lt;solution&gt;&lt;tongue&gt;en-us&lt;/tongue&gt;&lt;word&gt;"&amp;SUBSTITUTE(Tabelle1[[#This Row],[Am.Englisch]],";","&lt;/word&gt;&lt;word&gt;")&amp;"&lt;/word&gt;&lt;/solution&gt;&lt;/solutions&gt;","")</f>
        <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5" t="str">
        <f>IF(ISTEXT(Tabelle1[[#This Row],[Am.Englisch]]),"&lt;solutions&gt;&lt;solution&gt;&lt;tongue&gt;en-us&lt;/tongue&gt;&lt;word&gt;"&amp;SUBSTITUTE(Tabelle1[[#This Row],[Am.Englisch]],";","&lt;/word&gt;&lt;word&gt;")&amp;"&lt;/word&gt;&lt;/solution&gt;&lt;/solutions&gt;","")</f>
        <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6" t="str">
        <f>IF(ISTEXT(Tabelle1[[#This Row],[Am.Englisch]]),"&lt;solutions&gt;&lt;solution&gt;&lt;tongue&gt;en-us&lt;/tongue&gt;&lt;word&gt;"&amp;SUBSTITUTE(Tabelle1[[#This Row],[Am.Englisch]],";","&lt;/word&gt;&lt;word&gt;")&amp;"&lt;/word&gt;&lt;/solution&gt;&lt;/solutions&gt;","")</f>
        <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7" t="str">
        <f>IF(ISTEXT(Tabelle1[[#This Row],[Am.Englisch]]),"&lt;solutions&gt;&lt;solution&gt;&lt;tongue&gt;en-us&lt;/tongue&gt;&lt;word&gt;"&amp;SUBSTITUTE(Tabelle1[[#This Row],[Am.Englisch]],";","&lt;/word&gt;&lt;word&gt;")&amp;"&lt;/word&gt;&lt;/solution&gt;&lt;/solutions&gt;","")</f>
        <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8" t="str">
        <f>IF(ISTEXT(Tabelle1[[#This Row],[Am.Englisch]]),"&lt;solutions&gt;&lt;solution&gt;&lt;tongue&gt;en-us&lt;/tongue&gt;&lt;word&gt;"&amp;SUBSTITUTE(Tabelle1[[#This Row],[Am.Englisch]],";","&lt;/word&gt;&lt;word&gt;")&amp;"&lt;/word&gt;&lt;/solution&gt;&lt;/solutions&gt;","")</f>
        <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9" t="str">
        <f>IF(ISTEXT(Tabelle1[[#This Row],[Am.Englisch]]),"&lt;solutions&gt;&lt;solution&gt;&lt;tongue&gt;en-us&lt;/tongue&gt;&lt;word&gt;"&amp;SUBSTITUTE(Tabelle1[[#This Row],[Am.Englisch]],";","&lt;/word&gt;&lt;word&gt;")&amp;"&lt;/word&gt;&lt;/solution&gt;&lt;/solutions&gt;","")</f>
        <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0" t="str">
        <f>IF(ISTEXT(Tabelle1[[#This Row],[Am.Englisch]]),"&lt;solutions&gt;&lt;solution&gt;&lt;tongue&gt;en-us&lt;/tongue&gt;&lt;word&gt;"&amp;SUBSTITUTE(Tabelle1[[#This Row],[Am.Englisch]],";","&lt;/word&gt;&lt;word&gt;")&amp;"&lt;/word&gt;&lt;/solution&gt;&lt;/solutions&gt;","")</f>
        <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1" t="str">
        <f>IF(ISTEXT(Tabelle1[[#This Row],[Am.Englisch]]),"&lt;solutions&gt;&lt;solution&gt;&lt;tongue&gt;en-us&lt;/tongue&gt;&lt;word&gt;"&amp;SUBSTITUTE(Tabelle1[[#This Row],[Am.Englisch]],";","&lt;/word&gt;&lt;word&gt;")&amp;"&lt;/word&gt;&lt;/solution&gt;&lt;/solutions&gt;","")</f>
        <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2" t="str">
        <f>IF(ISTEXT(Tabelle1[[#This Row],[Am.Englisch]]),"&lt;solutions&gt;&lt;solution&gt;&lt;tongue&gt;en-us&lt;/tongue&gt;&lt;word&gt;"&amp;SUBSTITUTE(Tabelle1[[#This Row],[Am.Englisch]],";","&lt;/word&gt;&lt;word&gt;")&amp;"&lt;/word&gt;&lt;/solution&gt;&lt;/solutions&gt;","")</f>
        <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3" t="str">
        <f>IF(ISTEXT(Tabelle1[[#This Row],[Am.Englisch]]),"&lt;solutions&gt;&lt;solution&gt;&lt;tongue&gt;en-us&lt;/tongue&gt;&lt;word&gt;"&amp;SUBSTITUTE(Tabelle1[[#This Row],[Am.Englisch]],";","&lt;/word&gt;&lt;word&gt;")&amp;"&lt;/word&gt;&lt;/solution&gt;&lt;/solutions&gt;","")</f>
        <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4" t="str">
        <f>IF(ISTEXT(Tabelle1[[#This Row],[Am.Englisch]]),"&lt;solutions&gt;&lt;solution&gt;&lt;tongue&gt;en-us&lt;/tongue&gt;&lt;word&gt;"&amp;SUBSTITUTE(Tabelle1[[#This Row],[Am.Englisch]],";","&lt;/word&gt;&lt;word&gt;")&amp;"&lt;/word&gt;&lt;/solution&gt;&lt;/solutions&gt;","")</f>
        <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5" t="str">
        <f>IF(ISTEXT(Tabelle1[[#This Row],[Am.Englisch]]),"&lt;solutions&gt;&lt;solution&gt;&lt;tongue&gt;en-us&lt;/tongue&gt;&lt;word&gt;"&amp;SUBSTITUTE(Tabelle1[[#This Row],[Am.Englisch]],";","&lt;/word&gt;&lt;word&gt;")&amp;"&lt;/word&gt;&lt;/solution&gt;&lt;/solutions&gt;","")</f>
        <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6" t="str">
        <f>IF(ISTEXT(Tabelle1[[#This Row],[Am.Englisch]]),"&lt;solutions&gt;&lt;solution&gt;&lt;tongue&gt;en-us&lt;/tongue&gt;&lt;word&gt;"&amp;SUBSTITUTE(Tabelle1[[#This Row],[Am.Englisch]],";","&lt;/word&gt;&lt;word&gt;")&amp;"&lt;/word&gt;&lt;/solution&gt;&lt;/solutions&gt;","")</f>
        <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7" t="str">
        <f>IF(ISTEXT(Tabelle1[[#This Row],[Am.Englisch]]),"&lt;solutions&gt;&lt;solution&gt;&lt;tongue&gt;en-us&lt;/tongue&gt;&lt;word&gt;"&amp;SUBSTITUTE(Tabelle1[[#This Row],[Am.Englisch]],";","&lt;/word&gt;&lt;word&gt;")&amp;"&lt;/word&gt;&lt;/solution&gt;&lt;/solutions&gt;","")</f>
        <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8" t="str">
        <f>IF(ISTEXT(Tabelle1[[#This Row],[Am.Englisch]]),"&lt;solutions&gt;&lt;solution&gt;&lt;tongue&gt;en-us&lt;/tongue&gt;&lt;word&gt;"&amp;SUBSTITUTE(Tabelle1[[#This Row],[Am.Englisch]],";","&lt;/word&gt;&lt;word&gt;")&amp;"&lt;/word&gt;&lt;/solution&gt;&lt;/solutions&gt;","")</f>
        <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9" t="str">
        <f>IF(ISTEXT(Tabelle1[[#This Row],[Am.Englisch]]),"&lt;solutions&gt;&lt;solution&gt;&lt;tongue&gt;en-us&lt;/tongue&gt;&lt;word&gt;"&amp;SUBSTITUTE(Tabelle1[[#This Row],[Am.Englisch]],";","&lt;/word&gt;&lt;word&gt;")&amp;"&lt;/word&gt;&lt;/solution&gt;&lt;/solutions&gt;","")</f>
        <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0" t="str">
        <f>IF(ISTEXT(Tabelle1[[#This Row],[Am.Englisch]]),"&lt;solutions&gt;&lt;solution&gt;&lt;tongue&gt;en-us&lt;/tongue&gt;&lt;word&gt;"&amp;SUBSTITUTE(Tabelle1[[#This Row],[Am.Englisch]],";","&lt;/word&gt;&lt;word&gt;")&amp;"&lt;/word&gt;&lt;/solution&gt;&lt;/solutions&gt;","")</f>
        <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1" t="str">
        <f>IF(ISTEXT(Tabelle1[[#This Row],[Am.Englisch]]),"&lt;solutions&gt;&lt;solution&gt;&lt;tongue&gt;en-us&lt;/tongue&gt;&lt;word&gt;"&amp;SUBSTITUTE(Tabelle1[[#This Row],[Am.Englisch]],";","&lt;/word&gt;&lt;word&gt;")&amp;"&lt;/word&gt;&lt;/solution&gt;&lt;/solutions&gt;","")</f>
        <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2" t="str">
        <f>IF(ISTEXT(Tabelle1[[#This Row],[Am.Englisch]]),"&lt;solutions&gt;&lt;solution&gt;&lt;tongue&gt;en-us&lt;/tongue&gt;&lt;word&gt;"&amp;SUBSTITUTE(Tabelle1[[#This Row],[Am.Englisch]],";","&lt;/word&gt;&lt;word&gt;")&amp;"&lt;/word&gt;&lt;/solution&gt;&lt;/solutions&gt;","")</f>
        <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3" t="str">
        <f>IF(ISTEXT(Tabelle1[[#This Row],[Am.Englisch]]),"&lt;solutions&gt;&lt;solution&gt;&lt;tongue&gt;en-us&lt;/tongue&gt;&lt;word&gt;"&amp;SUBSTITUTE(Tabelle1[[#This Row],[Am.Englisch]],";","&lt;/word&gt;&lt;word&gt;")&amp;"&lt;/word&gt;&lt;/solution&gt;&lt;/solutions&gt;","")</f>
        <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4" t="str">
        <f>IF(ISTEXT(Tabelle1[[#This Row],[Am.Englisch]]),"&lt;solutions&gt;&lt;solution&gt;&lt;tongue&gt;en-us&lt;/tongue&gt;&lt;word&gt;"&amp;SUBSTITUTE(Tabelle1[[#This Row],[Am.Englisch]],";","&lt;/word&gt;&lt;word&gt;")&amp;"&lt;/word&gt;&lt;/solution&gt;&lt;/solutions&gt;","")</f>
        <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5" t="str">
        <f>IF(ISTEXT(Tabelle1[[#This Row],[Am.Englisch]]),"&lt;solutions&gt;&lt;solution&gt;&lt;tongue&gt;en-us&lt;/tongue&gt;&lt;word&gt;"&amp;SUBSTITUTE(Tabelle1[[#This Row],[Am.Englisch]],";","&lt;/word&gt;&lt;word&gt;")&amp;"&lt;/word&gt;&lt;/solution&gt;&lt;/solutions&gt;","")</f>
        <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6" t="str">
        <f>IF(ISTEXT(Tabelle1[[#This Row],[Am.Englisch]]),"&lt;solutions&gt;&lt;solution&gt;&lt;tongue&gt;en-us&lt;/tongue&gt;&lt;word&gt;"&amp;SUBSTITUTE(Tabelle1[[#This Row],[Am.Englisch]],";","&lt;/word&gt;&lt;word&gt;")&amp;"&lt;/word&gt;&lt;/solution&gt;&lt;/solutions&gt;","")</f>
        <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7" t="str">
        <f>IF(ISTEXT(Tabelle1[[#This Row],[Am.Englisch]]),"&lt;solutions&gt;&lt;solution&gt;&lt;tongue&gt;en-us&lt;/tongue&gt;&lt;word&gt;"&amp;SUBSTITUTE(Tabelle1[[#This Row],[Am.Englisch]],";","&lt;/word&gt;&lt;word&gt;")&amp;"&lt;/word&gt;&lt;/solution&gt;&lt;/solutions&gt;","")</f>
        <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8" t="str">
        <f>IF(ISTEXT(Tabelle1[[#This Row],[Am.Englisch]]),"&lt;solutions&gt;&lt;solution&gt;&lt;tongue&gt;en-us&lt;/tongue&gt;&lt;word&gt;"&amp;SUBSTITUTE(Tabelle1[[#This Row],[Am.Englisch]],";","&lt;/word&gt;&lt;word&gt;")&amp;"&lt;/word&gt;&lt;/solution&gt;&lt;/solutions&gt;","")</f>
        <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9" t="str">
        <f>IF(ISTEXT(Tabelle1[[#This Row],[Am.Englisch]]),"&lt;solutions&gt;&lt;solution&gt;&lt;tongue&gt;en-us&lt;/tongue&gt;&lt;word&gt;"&amp;SUBSTITUTE(Tabelle1[[#This Row],[Am.Englisch]],";","&lt;/word&gt;&lt;word&gt;")&amp;"&lt;/word&gt;&lt;/solution&gt;&lt;/solutions&gt;","")</f>
        <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0" t="str">
        <f>IF(ISTEXT(Tabelle1[[#This Row],[Am.Englisch]]),"&lt;solutions&gt;&lt;solution&gt;&lt;tongue&gt;en-us&lt;/tongue&gt;&lt;word&gt;"&amp;SUBSTITUTE(Tabelle1[[#This Row],[Am.Englisch]],";","&lt;/word&gt;&lt;word&gt;")&amp;"&lt;/word&gt;&lt;/solution&gt;&lt;/solutions&gt;","")</f>
        <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1" t="str">
        <f>IF(ISTEXT(Tabelle1[[#This Row],[Am.Englisch]]),"&lt;solutions&gt;&lt;solution&gt;&lt;tongue&gt;en-us&lt;/tongue&gt;&lt;word&gt;"&amp;SUBSTITUTE(Tabelle1[[#This Row],[Am.Englisch]],";","&lt;/word&gt;&lt;word&gt;")&amp;"&lt;/word&gt;&lt;/solution&gt;&lt;/solutions&gt;","")</f>
        <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2" t="str">
        <f>IF(ISTEXT(Tabelle1[[#This Row],[Am.Englisch]]),"&lt;solutions&gt;&lt;solution&gt;&lt;tongue&gt;en-us&lt;/tongue&gt;&lt;word&gt;"&amp;SUBSTITUTE(Tabelle1[[#This Row],[Am.Englisch]],";","&lt;/word&gt;&lt;word&gt;")&amp;"&lt;/word&gt;&lt;/solution&gt;&lt;/solutions&gt;","")</f>
        <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3" t="str">
        <f>IF(ISTEXT(Tabelle1[[#This Row],[Am.Englisch]]),"&lt;solutions&gt;&lt;solution&gt;&lt;tongue&gt;en-us&lt;/tongue&gt;&lt;word&gt;"&amp;SUBSTITUTE(Tabelle1[[#This Row],[Am.Englisch]],";","&lt;/word&gt;&lt;word&gt;")&amp;"&lt;/word&gt;&lt;/solution&gt;&lt;/solutions&gt;","")</f>
        <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4" t="str">
        <f>IF(ISTEXT(Tabelle1[[#This Row],[Am.Englisch]]),"&lt;solutions&gt;&lt;solution&gt;&lt;tongue&gt;en-us&lt;/tongue&gt;&lt;word&gt;"&amp;SUBSTITUTE(Tabelle1[[#This Row],[Am.Englisch]],";","&lt;/word&gt;&lt;word&gt;")&amp;"&lt;/word&gt;&lt;/solution&gt;&lt;/solutions&gt;","")</f>
        <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5" t="str">
        <f>IF(ISTEXT(Tabelle1[[#This Row],[Am.Englisch]]),"&lt;solutions&gt;&lt;solution&gt;&lt;tongue&gt;en-us&lt;/tongue&gt;&lt;word&gt;"&amp;SUBSTITUTE(Tabelle1[[#This Row],[Am.Englisch]],";","&lt;/word&gt;&lt;word&gt;")&amp;"&lt;/word&gt;&lt;/solution&gt;&lt;/solutions&gt;","")</f>
        <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6" t="str">
        <f>IF(ISTEXT(Tabelle1[[#This Row],[Am.Englisch]]),"&lt;solutions&gt;&lt;solution&gt;&lt;tongue&gt;en-us&lt;/tongue&gt;&lt;word&gt;"&amp;SUBSTITUTE(Tabelle1[[#This Row],[Am.Englisch]],";","&lt;/word&gt;&lt;word&gt;")&amp;"&lt;/word&gt;&lt;/solution&gt;&lt;/solutions&gt;","")</f>
        <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7" t="str">
        <f>IF(ISTEXT(Tabelle1[[#This Row],[Am.Englisch]]),"&lt;solutions&gt;&lt;solution&gt;&lt;tongue&gt;en-us&lt;/tongue&gt;&lt;word&gt;"&amp;SUBSTITUTE(Tabelle1[[#This Row],[Am.Englisch]],";","&lt;/word&gt;&lt;word&gt;")&amp;"&lt;/word&gt;&lt;/solution&gt;&lt;/solutions&gt;","")</f>
        <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8" t="str">
        <f>IF(ISTEXT(Tabelle1[[#This Row],[Am.Englisch]]),"&lt;solutions&gt;&lt;solution&gt;&lt;tongue&gt;en-us&lt;/tongue&gt;&lt;word&gt;"&amp;SUBSTITUTE(Tabelle1[[#This Row],[Am.Englisch]],";","&lt;/word&gt;&lt;word&gt;")&amp;"&lt;/word&gt;&lt;/solution&gt;&lt;/solutions&gt;","")</f>
        <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9" t="str">
        <f>IF(ISTEXT(Tabelle1[[#This Row],[Am.Englisch]]),"&lt;solutions&gt;&lt;solution&gt;&lt;tongue&gt;en-us&lt;/tongue&gt;&lt;word&gt;"&amp;SUBSTITUTE(Tabelle1[[#This Row],[Am.Englisch]],";","&lt;/word&gt;&lt;word&gt;")&amp;"&lt;/word&gt;&lt;/solution&gt;&lt;/solutions&gt;","")</f>
        <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0" t="str">
        <f>IF(ISTEXT(Tabelle1[[#This Row],[Am.Englisch]]),"&lt;solutions&gt;&lt;solution&gt;&lt;tongue&gt;en-us&lt;/tongue&gt;&lt;word&gt;"&amp;SUBSTITUTE(Tabelle1[[#This Row],[Am.Englisch]],";","&lt;/word&gt;&lt;word&gt;")&amp;"&lt;/word&gt;&lt;/solution&gt;&lt;/solutions&gt;","")</f>
        <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1" t="str">
        <f>IF(ISTEXT(Tabelle1[[#This Row],[Am.Englisch]]),"&lt;solutions&gt;&lt;solution&gt;&lt;tongue&gt;en-us&lt;/tongue&gt;&lt;word&gt;"&amp;SUBSTITUTE(Tabelle1[[#This Row],[Am.Englisch]],";","&lt;/word&gt;&lt;word&gt;")&amp;"&lt;/word&gt;&lt;/solution&gt;&lt;/solutions&gt;","")</f>
        <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2" t="str">
        <f>IF(ISTEXT(Tabelle1[[#This Row],[Am.Englisch]]),"&lt;solutions&gt;&lt;solution&gt;&lt;tongue&gt;en-us&lt;/tongue&gt;&lt;word&gt;"&amp;SUBSTITUTE(Tabelle1[[#This Row],[Am.Englisch]],";","&lt;/word&gt;&lt;word&gt;")&amp;"&lt;/word&gt;&lt;/solution&gt;&lt;/solutions&gt;","")</f>
        <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3" t="str">
        <f>IF(ISTEXT(Tabelle1[[#This Row],[Am.Englisch]]),"&lt;solutions&gt;&lt;solution&gt;&lt;tongue&gt;en-us&lt;/tongue&gt;&lt;word&gt;"&amp;SUBSTITUTE(Tabelle1[[#This Row],[Am.Englisch]],";","&lt;/word&gt;&lt;word&gt;")&amp;"&lt;/word&gt;&lt;/solution&gt;&lt;/solutions&gt;","")</f>
        <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4" t="str">
        <f>IF(ISTEXT(Tabelle1[[#This Row],[Am.Englisch]]),"&lt;solutions&gt;&lt;solution&gt;&lt;tongue&gt;en-us&lt;/tongue&gt;&lt;word&gt;"&amp;SUBSTITUTE(Tabelle1[[#This Row],[Am.Englisch]],";","&lt;/word&gt;&lt;word&gt;")&amp;"&lt;/word&gt;&lt;/solution&gt;&lt;/solutions&gt;","")</f>
        <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5" t="str">
        <f>IF(ISTEXT(Tabelle1[[#This Row],[Am.Englisch]]),"&lt;solutions&gt;&lt;solution&gt;&lt;tongue&gt;en-us&lt;/tongue&gt;&lt;word&gt;"&amp;SUBSTITUTE(Tabelle1[[#This Row],[Am.Englisch]],";","&lt;/word&gt;&lt;word&gt;")&amp;"&lt;/word&gt;&lt;/solution&gt;&lt;/solutions&gt;","")</f>
        <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6" t="str">
        <f>IF(ISTEXT(Tabelle1[[#This Row],[Am.Englisch]]),"&lt;solutions&gt;&lt;solution&gt;&lt;tongue&gt;en-us&lt;/tongue&gt;&lt;word&gt;"&amp;SUBSTITUTE(Tabelle1[[#This Row],[Am.Englisch]],";","&lt;/word&gt;&lt;word&gt;")&amp;"&lt;/word&gt;&lt;/solution&gt;&lt;/solutions&gt;","")</f>
        <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7" t="str">
        <f>IF(ISTEXT(Tabelle1[[#This Row],[Am.Englisch]]),"&lt;solutions&gt;&lt;solution&gt;&lt;tongue&gt;en-us&lt;/tongue&gt;&lt;word&gt;"&amp;SUBSTITUTE(Tabelle1[[#This Row],[Am.Englisch]],";","&lt;/word&gt;&lt;word&gt;")&amp;"&lt;/word&gt;&lt;/solution&gt;&lt;/solutions&gt;","")</f>
        <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8" t="str">
        <f>IF(ISTEXT(Tabelle1[[#This Row],[Am.Englisch]]),"&lt;solutions&gt;&lt;solution&gt;&lt;tongue&gt;en-us&lt;/tongue&gt;&lt;word&gt;"&amp;SUBSTITUTE(Tabelle1[[#This Row],[Am.Englisch]],";","&lt;/word&gt;&lt;word&gt;")&amp;"&lt;/word&gt;&lt;/solution&gt;&lt;/solutions&gt;","")</f>
        <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9" t="str">
        <f>IF(ISTEXT(Tabelle1[[#This Row],[Am.Englisch]]),"&lt;solutions&gt;&lt;solution&gt;&lt;tongue&gt;en-us&lt;/tongue&gt;&lt;word&gt;"&amp;SUBSTITUTE(Tabelle1[[#This Row],[Am.Englisch]],";","&lt;/word&gt;&lt;word&gt;")&amp;"&lt;/word&gt;&lt;/solution&gt;&lt;/solutions&gt;","")</f>
        <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0" t="str">
        <f>IF(ISTEXT(Tabelle1[[#This Row],[Am.Englisch]]),"&lt;solutions&gt;&lt;solution&gt;&lt;tongue&gt;en-us&lt;/tongue&gt;&lt;word&gt;"&amp;SUBSTITUTE(Tabelle1[[#This Row],[Am.Englisch]],";","&lt;/word&gt;&lt;word&gt;")&amp;"&lt;/word&gt;&lt;/solution&gt;&lt;/solutions&gt;","")</f>
        <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1" t="str">
        <f>IF(ISTEXT(Tabelle1[[#This Row],[Am.Englisch]]),"&lt;solutions&gt;&lt;solution&gt;&lt;tongue&gt;en-us&lt;/tongue&gt;&lt;word&gt;"&amp;SUBSTITUTE(Tabelle1[[#This Row],[Am.Englisch]],";","&lt;/word&gt;&lt;word&gt;")&amp;"&lt;/word&gt;&lt;/solution&gt;&lt;/solutions&gt;","")</f>
        <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2" t="str">
        <f>IF(ISTEXT(Tabelle1[[#This Row],[Am.Englisch]]),"&lt;solutions&gt;&lt;solution&gt;&lt;tongue&gt;en-us&lt;/tongue&gt;&lt;word&gt;"&amp;SUBSTITUTE(Tabelle1[[#This Row],[Am.Englisch]],";","&lt;/word&gt;&lt;word&gt;")&amp;"&lt;/word&gt;&lt;/solution&gt;&lt;/solutions&gt;","")</f>
        <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3" t="str">
        <f>IF(ISTEXT(Tabelle1[[#This Row],[Am.Englisch]]),"&lt;solutions&gt;&lt;solution&gt;&lt;tongue&gt;en-us&lt;/tongue&gt;&lt;word&gt;"&amp;SUBSTITUTE(Tabelle1[[#This Row],[Am.Englisch]],";","&lt;/word&gt;&lt;word&gt;")&amp;"&lt;/word&gt;&lt;/solution&gt;&lt;/solutions&gt;","")</f>
        <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4" t="str">
        <f>IF(ISTEXT(Tabelle1[[#This Row],[Am.Englisch]]),"&lt;solutions&gt;&lt;solution&gt;&lt;tongue&gt;en-us&lt;/tongue&gt;&lt;word&gt;"&amp;SUBSTITUTE(Tabelle1[[#This Row],[Am.Englisch]],";","&lt;/word&gt;&lt;word&gt;")&amp;"&lt;/word&gt;&lt;/solution&gt;&lt;/solutions&gt;","")</f>
        <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5" t="str">
        <f>IF(ISTEXT(Tabelle1[[#This Row],[Am.Englisch]]),"&lt;solutions&gt;&lt;solution&gt;&lt;tongue&gt;en-us&lt;/tongue&gt;&lt;word&gt;"&amp;SUBSTITUTE(Tabelle1[[#This Row],[Am.Englisch]],";","&lt;/word&gt;&lt;word&gt;")&amp;"&lt;/word&gt;&lt;/solution&gt;&lt;/solutions&gt;","")</f>
        <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6" t="str">
        <f>IF(ISTEXT(Tabelle1[[#This Row],[Am.Englisch]]),"&lt;solutions&gt;&lt;solution&gt;&lt;tongue&gt;en-us&lt;/tongue&gt;&lt;word&gt;"&amp;SUBSTITUTE(Tabelle1[[#This Row],[Am.Englisch]],";","&lt;/word&gt;&lt;word&gt;")&amp;"&lt;/word&gt;&lt;/solution&gt;&lt;/solutions&gt;","")</f>
        <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7" t="str">
        <f>IF(ISTEXT(Tabelle1[[#This Row],[Am.Englisch]]),"&lt;solutions&gt;&lt;solution&gt;&lt;tongue&gt;en-us&lt;/tongue&gt;&lt;word&gt;"&amp;SUBSTITUTE(Tabelle1[[#This Row],[Am.Englisch]],";","&lt;/word&gt;&lt;word&gt;")&amp;"&lt;/word&gt;&lt;/solution&gt;&lt;/solutions&gt;","")</f>
        <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8" t="str">
        <f>IF(ISTEXT(Tabelle1[[#This Row],[Am.Englisch]]),"&lt;solutions&gt;&lt;solution&gt;&lt;tongue&gt;en-us&lt;/tongue&gt;&lt;word&gt;"&amp;SUBSTITUTE(Tabelle1[[#This Row],[Am.Englisch]],";","&lt;/word&gt;&lt;word&gt;")&amp;"&lt;/word&gt;&lt;/solution&gt;&lt;/solutions&gt;","")</f>
        <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9" t="str">
        <f>IF(ISTEXT(Tabelle1[[#This Row],[Am.Englisch]]),"&lt;solutions&gt;&lt;solution&gt;&lt;tongue&gt;en-us&lt;/tongue&gt;&lt;word&gt;"&amp;SUBSTITUTE(Tabelle1[[#This Row],[Am.Englisch]],";","&lt;/word&gt;&lt;word&gt;")&amp;"&lt;/word&gt;&lt;/solution&gt;&lt;/solutions&gt;","")</f>
        <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0" t="str">
        <f>IF(ISTEXT(Tabelle1[[#This Row],[Am.Englisch]]),"&lt;solutions&gt;&lt;solution&gt;&lt;tongue&gt;en-us&lt;/tongue&gt;&lt;word&gt;"&amp;SUBSTITUTE(Tabelle1[[#This Row],[Am.Englisch]],";","&lt;/word&gt;&lt;word&gt;")&amp;"&lt;/word&gt;&lt;/solution&gt;&lt;/solutions&gt;","")</f>
        <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1" t="str">
        <f>IF(ISTEXT(Tabelle1[[#This Row],[Am.Englisch]]),"&lt;solutions&gt;&lt;solution&gt;&lt;tongue&gt;en-us&lt;/tongue&gt;&lt;word&gt;"&amp;SUBSTITUTE(Tabelle1[[#This Row],[Am.Englisch]],";","&lt;/word&gt;&lt;word&gt;")&amp;"&lt;/word&gt;&lt;/solution&gt;&lt;/solutions&gt;","")</f>
        <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2" t="str">
        <f>IF(ISTEXT(Tabelle1[[#This Row],[Am.Englisch]]),"&lt;solutions&gt;&lt;solution&gt;&lt;tongue&gt;en-us&lt;/tongue&gt;&lt;word&gt;"&amp;SUBSTITUTE(Tabelle1[[#This Row],[Am.Englisch]],";","&lt;/word&gt;&lt;word&gt;")&amp;"&lt;/word&gt;&lt;/solution&gt;&lt;/solutions&gt;","")</f>
        <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3" t="str">
        <f>IF(ISTEXT(Tabelle1[[#This Row],[Am.Englisch]]),"&lt;solutions&gt;&lt;solution&gt;&lt;tongue&gt;en-us&lt;/tongue&gt;&lt;word&gt;"&amp;SUBSTITUTE(Tabelle1[[#This Row],[Am.Englisch]],";","&lt;/word&gt;&lt;word&gt;")&amp;"&lt;/word&gt;&lt;/solution&gt;&lt;/solutions&gt;","")</f>
        <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4" t="str">
        <f>IF(ISTEXT(Tabelle1[[#This Row],[Am.Englisch]]),"&lt;solutions&gt;&lt;solution&gt;&lt;tongue&gt;en-us&lt;/tongue&gt;&lt;word&gt;"&amp;SUBSTITUTE(Tabelle1[[#This Row],[Am.Englisch]],";","&lt;/word&gt;&lt;word&gt;")&amp;"&lt;/word&gt;&lt;/solution&gt;&lt;/solutions&gt;","")</f>
        <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5" t="str">
        <f>IF(ISTEXT(Tabelle1[[#This Row],[Am.Englisch]]),"&lt;solutions&gt;&lt;solution&gt;&lt;tongue&gt;en-us&lt;/tongue&gt;&lt;word&gt;"&amp;SUBSTITUTE(Tabelle1[[#This Row],[Am.Englisch]],";","&lt;/word&gt;&lt;word&gt;")&amp;"&lt;/word&gt;&lt;/solution&gt;&lt;/solutions&gt;","")</f>
        <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6" t="str">
        <f>IF(ISTEXT(Tabelle1[[#This Row],[Am.Englisch]]),"&lt;solutions&gt;&lt;solution&gt;&lt;tongue&gt;en-us&lt;/tongue&gt;&lt;word&gt;"&amp;SUBSTITUTE(Tabelle1[[#This Row],[Am.Englisch]],";","&lt;/word&gt;&lt;word&gt;")&amp;"&lt;/word&gt;&lt;/solution&gt;&lt;/solutions&gt;","")</f>
        <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7" t="str">
        <f>IF(ISTEXT(Tabelle1[[#This Row],[Am.Englisch]]),"&lt;solutions&gt;&lt;solution&gt;&lt;tongue&gt;en-us&lt;/tongue&gt;&lt;word&gt;"&amp;SUBSTITUTE(Tabelle1[[#This Row],[Am.Englisch]],";","&lt;/word&gt;&lt;word&gt;")&amp;"&lt;/word&gt;&lt;/solution&gt;&lt;/solutions&gt;","")</f>
        <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8" t="str">
        <f>IF(ISTEXT(Tabelle1[[#This Row],[Am.Englisch]]),"&lt;solutions&gt;&lt;solution&gt;&lt;tongue&gt;en-us&lt;/tongue&gt;&lt;word&gt;"&amp;SUBSTITUTE(Tabelle1[[#This Row],[Am.Englisch]],";","&lt;/word&gt;&lt;word&gt;")&amp;"&lt;/word&gt;&lt;/solution&gt;&lt;/solutions&gt;","")</f>
        <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9" t="str">
        <f>IF(ISTEXT(Tabelle1[[#This Row],[Am.Englisch]]),"&lt;solutions&gt;&lt;solution&gt;&lt;tongue&gt;en-us&lt;/tongue&gt;&lt;word&gt;"&amp;SUBSTITUTE(Tabelle1[[#This Row],[Am.Englisch]],";","&lt;/word&gt;&lt;word&gt;")&amp;"&lt;/word&gt;&lt;/solution&gt;&lt;/solutions&gt;","")</f>
        <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0" t="str">
        <f>IF(ISTEXT(Tabelle1[[#This Row],[Am.Englisch]]),"&lt;solutions&gt;&lt;solution&gt;&lt;tongue&gt;en-us&lt;/tongue&gt;&lt;word&gt;"&amp;SUBSTITUTE(Tabelle1[[#This Row],[Am.Englisch]],";","&lt;/word&gt;&lt;word&gt;")&amp;"&lt;/word&gt;&lt;/solution&gt;&lt;/solutions&gt;","")</f>
        <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1" t="str">
        <f>IF(ISTEXT(Tabelle1[[#This Row],[Am.Englisch]]),"&lt;solutions&gt;&lt;solution&gt;&lt;tongue&gt;en-us&lt;/tongue&gt;&lt;word&gt;"&amp;SUBSTITUTE(Tabelle1[[#This Row],[Am.Englisch]],";","&lt;/word&gt;&lt;word&gt;")&amp;"&lt;/word&gt;&lt;/solution&gt;&lt;/solutions&gt;","")</f>
        <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2" t="str">
        <f>IF(ISTEXT(Tabelle1[[#This Row],[Am.Englisch]]),"&lt;solutions&gt;&lt;solution&gt;&lt;tongue&gt;en-us&lt;/tongue&gt;&lt;word&gt;"&amp;SUBSTITUTE(Tabelle1[[#This Row],[Am.Englisch]],";","&lt;/word&gt;&lt;word&gt;")&amp;"&lt;/word&gt;&lt;/solution&gt;&lt;/solutions&gt;","")</f>
        <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3" t="str">
        <f>IF(ISTEXT(Tabelle1[[#This Row],[Am.Englisch]]),"&lt;solutions&gt;&lt;solution&gt;&lt;tongue&gt;en-us&lt;/tongue&gt;&lt;word&gt;"&amp;SUBSTITUTE(Tabelle1[[#This Row],[Am.Englisch]],";","&lt;/word&gt;&lt;word&gt;")&amp;"&lt;/word&gt;&lt;/solution&gt;&lt;/solutions&gt;","")</f>
        <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4" t="str">
        <f>IF(ISTEXT(Tabelle1[[#This Row],[Am.Englisch]]),"&lt;solutions&gt;&lt;solution&gt;&lt;tongue&gt;en-us&lt;/tongue&gt;&lt;word&gt;"&amp;SUBSTITUTE(Tabelle1[[#This Row],[Am.Englisch]],";","&lt;/word&gt;&lt;word&gt;")&amp;"&lt;/word&gt;&lt;/solution&gt;&lt;/solutions&gt;","")</f>
        <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5" t="str">
        <f>IF(ISTEXT(Tabelle1[[#This Row],[Am.Englisch]]),"&lt;solutions&gt;&lt;solution&gt;&lt;tongue&gt;en-us&lt;/tongue&gt;&lt;word&gt;"&amp;SUBSTITUTE(Tabelle1[[#This Row],[Am.Englisch]],";","&lt;/word&gt;&lt;word&gt;")&amp;"&lt;/word&gt;&lt;/solution&gt;&lt;/solutions&gt;","")</f>
        <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6" t="str">
        <f>IF(ISTEXT(Tabelle1[[#This Row],[Am.Englisch]]),"&lt;solutions&gt;&lt;solution&gt;&lt;tongue&gt;en-us&lt;/tongue&gt;&lt;word&gt;"&amp;SUBSTITUTE(Tabelle1[[#This Row],[Am.Englisch]],";","&lt;/word&gt;&lt;word&gt;")&amp;"&lt;/word&gt;&lt;/solution&gt;&lt;/solutions&gt;","")</f>
        <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7" t="str">
        <f>IF(ISTEXT(Tabelle1[[#This Row],[Am.Englisch]]),"&lt;solutions&gt;&lt;solution&gt;&lt;tongue&gt;en-us&lt;/tongue&gt;&lt;word&gt;"&amp;SUBSTITUTE(Tabelle1[[#This Row],[Am.Englisch]],";","&lt;/word&gt;&lt;word&gt;")&amp;"&lt;/word&gt;&lt;/solution&gt;&lt;/solutions&gt;","")</f>
        <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8" t="str">
        <f>IF(ISTEXT(Tabelle1[[#This Row],[Am.Englisch]]),"&lt;solutions&gt;&lt;solution&gt;&lt;tongue&gt;en-us&lt;/tongue&gt;&lt;word&gt;"&amp;SUBSTITUTE(Tabelle1[[#This Row],[Am.Englisch]],";","&lt;/word&gt;&lt;word&gt;")&amp;"&lt;/word&gt;&lt;/solution&gt;&lt;/solutions&gt;","")</f>
        <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9" t="str">
        <f>IF(ISTEXT(Tabelle1[[#This Row],[Am.Englisch]]),"&lt;solutions&gt;&lt;solution&gt;&lt;tongue&gt;en-us&lt;/tongue&gt;&lt;word&gt;"&amp;SUBSTITUTE(Tabelle1[[#This Row],[Am.Englisch]],";","&lt;/word&gt;&lt;word&gt;")&amp;"&lt;/word&gt;&lt;/solution&gt;&lt;/solutions&gt;","")</f>
        <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0" t="str">
        <f>IF(ISTEXT(Tabelle1[[#This Row],[Am.Englisch]]),"&lt;solutions&gt;&lt;solution&gt;&lt;tongue&gt;en-us&lt;/tongue&gt;&lt;word&gt;"&amp;SUBSTITUTE(Tabelle1[[#This Row],[Am.Englisch]],";","&lt;/word&gt;&lt;word&gt;")&amp;"&lt;/word&gt;&lt;/solution&gt;&lt;/solutions&gt;","")</f>
        <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1" t="str">
        <f>IF(ISTEXT(Tabelle1[[#This Row],[Am.Englisch]]),"&lt;solutions&gt;&lt;solution&gt;&lt;tongue&gt;en-us&lt;/tongue&gt;&lt;word&gt;"&amp;SUBSTITUTE(Tabelle1[[#This Row],[Am.Englisch]],";","&lt;/word&gt;&lt;word&gt;")&amp;"&lt;/word&gt;&lt;/solution&gt;&lt;/solutions&gt;","")</f>
        <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2" t="str">
        <f>IF(ISTEXT(Tabelle1[[#This Row],[Am.Englisch]]),"&lt;solutions&gt;&lt;solution&gt;&lt;tongue&gt;en-us&lt;/tongue&gt;&lt;word&gt;"&amp;SUBSTITUTE(Tabelle1[[#This Row],[Am.Englisch]],";","&lt;/word&gt;&lt;word&gt;")&amp;"&lt;/word&gt;&lt;/solution&gt;&lt;/solutions&gt;","")</f>
        <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3" t="str">
        <f>IF(ISTEXT(Tabelle1[[#This Row],[Am.Englisch]]),"&lt;solutions&gt;&lt;solution&gt;&lt;tongue&gt;en-us&lt;/tongue&gt;&lt;word&gt;"&amp;SUBSTITUTE(Tabelle1[[#This Row],[Am.Englisch]],";","&lt;/word&gt;&lt;word&gt;")&amp;"&lt;/word&gt;&lt;/solution&gt;&lt;/solutions&gt;","")</f>
        <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4" t="str">
        <f>IF(ISTEXT(Tabelle1[[#This Row],[Am.Englisch]]),"&lt;solutions&gt;&lt;solution&gt;&lt;tongue&gt;en-us&lt;/tongue&gt;&lt;word&gt;"&amp;SUBSTITUTE(Tabelle1[[#This Row],[Am.Englisch]],";","&lt;/word&gt;&lt;word&gt;")&amp;"&lt;/word&gt;&lt;/solution&gt;&lt;/solutions&gt;","")</f>
        <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5" t="str">
        <f>IF(ISTEXT(Tabelle1[[#This Row],[Am.Englisch]]),"&lt;solutions&gt;&lt;solution&gt;&lt;tongue&gt;en-us&lt;/tongue&gt;&lt;word&gt;"&amp;SUBSTITUTE(Tabelle1[[#This Row],[Am.Englisch]],";","&lt;/word&gt;&lt;word&gt;")&amp;"&lt;/word&gt;&lt;/solution&gt;&lt;/solutions&gt;","")</f>
        <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6" t="str">
        <f>IF(ISTEXT(Tabelle1[[#This Row],[Am.Englisch]]),"&lt;solutions&gt;&lt;solution&gt;&lt;tongue&gt;en-us&lt;/tongue&gt;&lt;word&gt;"&amp;SUBSTITUTE(Tabelle1[[#This Row],[Am.Englisch]],";","&lt;/word&gt;&lt;word&gt;")&amp;"&lt;/word&gt;&lt;/solution&gt;&lt;/solutions&gt;","")</f>
        <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7" t="str">
        <f>IF(ISTEXT(Tabelle1[[#This Row],[Am.Englisch]]),"&lt;solutions&gt;&lt;solution&gt;&lt;tongue&gt;en-us&lt;/tongue&gt;&lt;word&gt;"&amp;SUBSTITUTE(Tabelle1[[#This Row],[Am.Englisch]],";","&lt;/word&gt;&lt;word&gt;")&amp;"&lt;/word&gt;&lt;/solution&gt;&lt;/solutions&gt;","")</f>
        <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8" t="str">
        <f>IF(ISTEXT(Tabelle1[[#This Row],[Am.Englisch]]),"&lt;solutions&gt;&lt;solution&gt;&lt;tongue&gt;en-us&lt;/tongue&gt;&lt;word&gt;"&amp;SUBSTITUTE(Tabelle1[[#This Row],[Am.Englisch]],";","&lt;/word&gt;&lt;word&gt;")&amp;"&lt;/word&gt;&lt;/solution&gt;&lt;/solutions&gt;","")</f>
        <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9" t="str">
        <f>IF(ISTEXT(Tabelle1[[#This Row],[Am.Englisch]]),"&lt;solutions&gt;&lt;solution&gt;&lt;tongue&gt;en-us&lt;/tongue&gt;&lt;word&gt;"&amp;SUBSTITUTE(Tabelle1[[#This Row],[Am.Englisch]],";","&lt;/word&gt;&lt;word&gt;")&amp;"&lt;/word&gt;&lt;/solution&gt;&lt;/solutions&gt;","")</f>
        <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0" t="str">
        <f>IF(ISTEXT(Tabelle1[[#This Row],[Am.Englisch]]),"&lt;solutions&gt;&lt;solution&gt;&lt;tongue&gt;en-us&lt;/tongue&gt;&lt;word&gt;"&amp;SUBSTITUTE(Tabelle1[[#This Row],[Am.Englisch]],";","&lt;/word&gt;&lt;word&gt;")&amp;"&lt;/word&gt;&lt;/solution&gt;&lt;/solutions&gt;","")</f>
        <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1" t="str">
        <f>IF(ISTEXT(Tabelle1[[#This Row],[Am.Englisch]]),"&lt;solutions&gt;&lt;solution&gt;&lt;tongue&gt;en-us&lt;/tongue&gt;&lt;word&gt;"&amp;SUBSTITUTE(Tabelle1[[#This Row],[Am.Englisch]],";","&lt;/word&gt;&lt;word&gt;")&amp;"&lt;/word&gt;&lt;/solution&gt;&lt;/solutions&gt;","")</f>
        <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2" t="str">
        <f>IF(ISTEXT(Tabelle1[[#This Row],[Am.Englisch]]),"&lt;solutions&gt;&lt;solution&gt;&lt;tongue&gt;en-us&lt;/tongue&gt;&lt;word&gt;"&amp;SUBSTITUTE(Tabelle1[[#This Row],[Am.Englisch]],";","&lt;/word&gt;&lt;word&gt;")&amp;"&lt;/word&gt;&lt;/solution&gt;&lt;/solutions&gt;","")</f>
        <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3" t="str">
        <f>IF(ISTEXT(Tabelle1[[#This Row],[Am.Englisch]]),"&lt;solutions&gt;&lt;solution&gt;&lt;tongue&gt;en-us&lt;/tongue&gt;&lt;word&gt;"&amp;SUBSTITUTE(Tabelle1[[#This Row],[Am.Englisch]],";","&lt;/word&gt;&lt;word&gt;")&amp;"&lt;/word&gt;&lt;/solution&gt;&lt;/solutions&gt;","")</f>
        <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4" t="str">
        <f>IF(ISTEXT(Tabelle1[[#This Row],[Am.Englisch]]),"&lt;solutions&gt;&lt;solution&gt;&lt;tongue&gt;en-us&lt;/tongue&gt;&lt;word&gt;"&amp;SUBSTITUTE(Tabelle1[[#This Row],[Am.Englisch]],";","&lt;/word&gt;&lt;word&gt;")&amp;"&lt;/word&gt;&lt;/solution&gt;&lt;/solutions&gt;","")</f>
        <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5" t="str">
        <f>IF(ISTEXT(Tabelle1[[#This Row],[Am.Englisch]]),"&lt;solutions&gt;&lt;solution&gt;&lt;tongue&gt;en-us&lt;/tongue&gt;&lt;word&gt;"&amp;SUBSTITUTE(Tabelle1[[#This Row],[Am.Englisch]],";","&lt;/word&gt;&lt;word&gt;")&amp;"&lt;/word&gt;&lt;/solution&gt;&lt;/solutions&gt;","")</f>
        <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6" t="str">
        <f>IF(ISTEXT(Tabelle1[[#This Row],[Am.Englisch]]),"&lt;solutions&gt;&lt;solution&gt;&lt;tongue&gt;en-us&lt;/tongue&gt;&lt;word&gt;"&amp;SUBSTITUTE(Tabelle1[[#This Row],[Am.Englisch]],";","&lt;/word&gt;&lt;word&gt;")&amp;"&lt;/word&gt;&lt;/solution&gt;&lt;/solutions&gt;","")</f>
        <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7" t="str">
        <f>IF(ISTEXT(Tabelle1[[#This Row],[Am.Englisch]]),"&lt;solutions&gt;&lt;solution&gt;&lt;tongue&gt;en-us&lt;/tongue&gt;&lt;word&gt;"&amp;SUBSTITUTE(Tabelle1[[#This Row],[Am.Englisch]],";","&lt;/word&gt;&lt;word&gt;")&amp;"&lt;/word&gt;&lt;/solution&gt;&lt;/solutions&gt;","")</f>
        <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8" t="str">
        <f>IF(ISTEXT(Tabelle1[[#This Row],[Am.Englisch]]),"&lt;solutions&gt;&lt;solution&gt;&lt;tongue&gt;en-us&lt;/tongue&gt;&lt;word&gt;"&amp;SUBSTITUTE(Tabelle1[[#This Row],[Am.Englisch]],";","&lt;/word&gt;&lt;word&gt;")&amp;"&lt;/word&gt;&lt;/solution&gt;&lt;/solutions&gt;","")</f>
        <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9" t="str">
        <f>IF(ISTEXT(Tabelle1[[#This Row],[Am.Englisch]]),"&lt;solutions&gt;&lt;solution&gt;&lt;tongue&gt;en-us&lt;/tongue&gt;&lt;word&gt;"&amp;SUBSTITUTE(Tabelle1[[#This Row],[Am.Englisch]],";","&lt;/word&gt;&lt;word&gt;")&amp;"&lt;/word&gt;&lt;/solution&gt;&lt;/solutions&gt;","")</f>
        <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0" t="str">
        <f>IF(ISTEXT(Tabelle1[[#This Row],[Am.Englisch]]),"&lt;solutions&gt;&lt;solution&gt;&lt;tongue&gt;en-us&lt;/tongue&gt;&lt;word&gt;"&amp;SUBSTITUTE(Tabelle1[[#This Row],[Am.Englisch]],";","&lt;/word&gt;&lt;word&gt;")&amp;"&lt;/word&gt;&lt;/solution&gt;&lt;/solutions&gt;","")</f>
        <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1" t="str">
        <f>IF(ISTEXT(Tabelle1[[#This Row],[Am.Englisch]]),"&lt;solutions&gt;&lt;solution&gt;&lt;tongue&gt;en-us&lt;/tongue&gt;&lt;word&gt;"&amp;SUBSTITUTE(Tabelle1[[#This Row],[Am.Englisch]],";","&lt;/word&gt;&lt;word&gt;")&amp;"&lt;/word&gt;&lt;/solution&gt;&lt;/solutions&gt;","")</f>
        <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2" t="str">
        <f>IF(ISTEXT(Tabelle1[[#This Row],[Am.Englisch]]),"&lt;solutions&gt;&lt;solution&gt;&lt;tongue&gt;en-us&lt;/tongue&gt;&lt;word&gt;"&amp;SUBSTITUTE(Tabelle1[[#This Row],[Am.Englisch]],";","&lt;/word&gt;&lt;word&gt;")&amp;"&lt;/word&gt;&lt;/solution&gt;&lt;/solutions&gt;","")</f>
        <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3" t="str">
        <f>IF(ISTEXT(Tabelle1[[#This Row],[Am.Englisch]]),"&lt;solutions&gt;&lt;solution&gt;&lt;tongue&gt;en-us&lt;/tongue&gt;&lt;word&gt;"&amp;SUBSTITUTE(Tabelle1[[#This Row],[Am.Englisch]],";","&lt;/word&gt;&lt;word&gt;")&amp;"&lt;/word&gt;&lt;/solution&gt;&lt;/solutions&gt;","")</f>
        <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4" t="str">
        <f>IF(ISTEXT(Tabelle1[[#This Row],[Am.Englisch]]),"&lt;solutions&gt;&lt;solution&gt;&lt;tongue&gt;en-us&lt;/tongue&gt;&lt;word&gt;"&amp;SUBSTITUTE(Tabelle1[[#This Row],[Am.Englisch]],";","&lt;/word&gt;&lt;word&gt;")&amp;"&lt;/word&gt;&lt;/solution&gt;&lt;/solutions&gt;","")</f>
        <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5" t="str">
        <f>IF(ISTEXT(Tabelle1[[#This Row],[Am.Englisch]]),"&lt;solutions&gt;&lt;solution&gt;&lt;tongue&gt;en-us&lt;/tongue&gt;&lt;word&gt;"&amp;SUBSTITUTE(Tabelle1[[#This Row],[Am.Englisch]],";","&lt;/word&gt;&lt;word&gt;")&amp;"&lt;/word&gt;&lt;/solution&gt;&lt;/solutions&gt;","")</f>
        <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6" t="str">
        <f>IF(ISTEXT(Tabelle1[[#This Row],[Am.Englisch]]),"&lt;solutions&gt;&lt;solution&gt;&lt;tongue&gt;en-us&lt;/tongue&gt;&lt;word&gt;"&amp;SUBSTITUTE(Tabelle1[[#This Row],[Am.Englisch]],";","&lt;/word&gt;&lt;word&gt;")&amp;"&lt;/word&gt;&lt;/solution&gt;&lt;/solutions&gt;","")</f>
        <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7" t="str">
        <f>IF(ISTEXT(Tabelle1[[#This Row],[Am.Englisch]]),"&lt;solutions&gt;&lt;solution&gt;&lt;tongue&gt;en-us&lt;/tongue&gt;&lt;word&gt;"&amp;SUBSTITUTE(Tabelle1[[#This Row],[Am.Englisch]],";","&lt;/word&gt;&lt;word&gt;")&amp;"&lt;/word&gt;&lt;/solution&gt;&lt;/solutions&gt;","")</f>
        <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8" t="str">
        <f>IF(ISTEXT(Tabelle1[[#This Row],[Am.Englisch]]),"&lt;solutions&gt;&lt;solution&gt;&lt;tongue&gt;en-us&lt;/tongue&gt;&lt;word&gt;"&amp;SUBSTITUTE(Tabelle1[[#This Row],[Am.Englisch]],";","&lt;/word&gt;&lt;word&gt;")&amp;"&lt;/word&gt;&lt;/solution&gt;&lt;/solutions&gt;","")</f>
        <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9" t="str">
        <f>IF(ISTEXT(Tabelle1[[#This Row],[Am.Englisch]]),"&lt;solutions&gt;&lt;solution&gt;&lt;tongue&gt;en-us&lt;/tongue&gt;&lt;word&gt;"&amp;SUBSTITUTE(Tabelle1[[#This Row],[Am.Englisch]],";","&lt;/word&gt;&lt;word&gt;")&amp;"&lt;/word&gt;&lt;/solution&gt;&lt;/solutions&gt;","")</f>
        <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0" t="str">
        <f>IF(ISTEXT(Tabelle1[[#This Row],[Am.Englisch]]),"&lt;solutions&gt;&lt;solution&gt;&lt;tongue&gt;en-us&lt;/tongue&gt;&lt;word&gt;"&amp;SUBSTITUTE(Tabelle1[[#This Row],[Am.Englisch]],";","&lt;/word&gt;&lt;word&gt;")&amp;"&lt;/word&gt;&lt;/solution&gt;&lt;/solutions&gt;","")</f>
        <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1" t="str">
        <f>IF(ISTEXT(Tabelle1[[#This Row],[Am.Englisch]]),"&lt;solutions&gt;&lt;solution&gt;&lt;tongue&gt;en-us&lt;/tongue&gt;&lt;word&gt;"&amp;SUBSTITUTE(Tabelle1[[#This Row],[Am.Englisch]],";","&lt;/word&gt;&lt;word&gt;")&amp;"&lt;/word&gt;&lt;/solution&gt;&lt;/solutions&gt;","")</f>
        <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2" t="str">
        <f>IF(ISTEXT(Tabelle1[[#This Row],[Am.Englisch]]),"&lt;solutions&gt;&lt;solution&gt;&lt;tongue&gt;en-us&lt;/tongue&gt;&lt;word&gt;"&amp;SUBSTITUTE(Tabelle1[[#This Row],[Am.Englisch]],";","&lt;/word&gt;&lt;word&gt;")&amp;"&lt;/word&gt;&lt;/solution&gt;&lt;/solutions&gt;","")</f>
        <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3" t="str">
        <f>IF(ISTEXT(Tabelle1[[#This Row],[Am.Englisch]]),"&lt;solutions&gt;&lt;solution&gt;&lt;tongue&gt;en-us&lt;/tongue&gt;&lt;word&gt;"&amp;SUBSTITUTE(Tabelle1[[#This Row],[Am.Englisch]],";","&lt;/word&gt;&lt;word&gt;")&amp;"&lt;/word&gt;&lt;/solution&gt;&lt;/solutions&gt;","")</f>
        <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4" t="str">
        <f>IF(ISTEXT(Tabelle1[[#This Row],[Am.Englisch]]),"&lt;solutions&gt;&lt;solution&gt;&lt;tongue&gt;en-us&lt;/tongue&gt;&lt;word&gt;"&amp;SUBSTITUTE(Tabelle1[[#This Row],[Am.Englisch]],";","&lt;/word&gt;&lt;word&gt;")&amp;"&lt;/word&gt;&lt;/solution&gt;&lt;/solutions&gt;","")</f>
        <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2438</v>
      </c>
      <c r="B13" t="s">
        <v>2437</v>
      </c>
      <c r="C13"/>
      <c r="D13"/>
      <c r="E13"/>
    </row>
    <row r="14" spans="1:6">
      <c r="A14"/>
      <c r="B14" t="s">
        <v>2436</v>
      </c>
      <c r="C14"/>
      <c r="D14"/>
      <c r="E14"/>
    </row>
    <row r="15" spans="1:6">
      <c r="A15" t="s">
        <v>2435</v>
      </c>
      <c r="B15"/>
      <c r="C15" t="s">
        <v>2434</v>
      </c>
      <c r="D15" t="s">
        <v>2433</v>
      </c>
    </row>
    <row r="16" spans="1:6">
      <c r="A16"/>
      <c r="B16"/>
      <c r="C16"/>
      <c r="D16"/>
    </row>
    <row r="17" spans="1:5">
      <c r="A17"/>
      <c r="B17"/>
      <c r="C17" t="s">
        <v>2432</v>
      </c>
      <c r="D17"/>
    </row>
    <row r="18" spans="1:5">
      <c r="A18"/>
      <c r="B18"/>
      <c r="C18" t="s">
        <v>2431</v>
      </c>
      <c r="D18"/>
    </row>
    <row r="19" spans="1:5">
      <c r="A19"/>
      <c r="B19"/>
      <c r="C19" t="s">
        <v>2430</v>
      </c>
      <c r="D19" t="s">
        <v>2429</v>
      </c>
    </row>
    <row r="20" spans="1:5">
      <c r="A20"/>
      <c r="B20"/>
      <c r="C20" t="s">
        <v>2428</v>
      </c>
      <c r="D20" t="s">
        <v>2427</v>
      </c>
    </row>
    <row r="21" spans="1:5">
      <c r="A21"/>
      <c r="B21"/>
      <c r="C21" t="s">
        <v>2426</v>
      </c>
      <c r="D21"/>
      <c r="E21" t="s">
        <v>3174</v>
      </c>
    </row>
    <row r="22" spans="1:5">
      <c r="A22"/>
      <c r="B22"/>
      <c r="C22" t="s">
        <v>2425</v>
      </c>
      <c r="D22" s="97" t="s">
        <v>3173</v>
      </c>
      <c r="E22" t="s">
        <v>1563</v>
      </c>
    </row>
    <row r="23" spans="1:5">
      <c r="A23"/>
      <c r="B23"/>
      <c r="C23" t="s">
        <v>2424</v>
      </c>
      <c r="D23" s="97" t="s">
        <v>3172</v>
      </c>
      <c r="E23" t="s">
        <v>1563</v>
      </c>
    </row>
    <row r="24" spans="1:5">
      <c r="A24"/>
      <c r="B24"/>
      <c r="C24" t="s">
        <v>2423</v>
      </c>
      <c r="D24" s="97" t="s">
        <v>3171</v>
      </c>
      <c r="E24" t="s">
        <v>3170</v>
      </c>
    </row>
    <row r="25" spans="1:5">
      <c r="A25"/>
      <c r="B25"/>
      <c r="C25" t="s">
        <v>2422</v>
      </c>
      <c r="D25" s="97" t="s">
        <v>3169</v>
      </c>
      <c r="E25" t="s">
        <v>3168</v>
      </c>
    </row>
    <row r="26" spans="1:5">
      <c r="A26"/>
      <c r="B26"/>
      <c r="C26" t="s">
        <v>2421</v>
      </c>
      <c r="D26"/>
      <c r="E26"/>
    </row>
    <row r="27" spans="1:5">
      <c r="A27"/>
      <c r="B27"/>
      <c r="C27" t="s">
        <v>2420</v>
      </c>
      <c r="D27"/>
      <c r="E27"/>
    </row>
    <row r="28" spans="1:5">
      <c r="A28"/>
      <c r="B28"/>
      <c r="C28" t="s">
        <v>2419</v>
      </c>
      <c r="D28"/>
      <c r="E28"/>
    </row>
    <row r="29" spans="1:5">
      <c r="A29"/>
      <c r="B29"/>
      <c r="C29" t="s">
        <v>2418</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2438</v>
      </c>
      <c r="B1" t="s">
        <v>2437</v>
      </c>
    </row>
    <row r="2" spans="1:18">
      <c r="B2" t="s">
        <v>2436</v>
      </c>
    </row>
    <row r="3" spans="1:18">
      <c r="E3" s="50"/>
      <c r="H3" t="s">
        <v>2517</v>
      </c>
    </row>
    <row r="7" spans="1:18">
      <c r="N7" t="s">
        <v>2518</v>
      </c>
    </row>
    <row r="8" spans="1:18">
      <c r="N8" t="s">
        <v>2519</v>
      </c>
    </row>
    <row r="9" spans="1:18">
      <c r="A9" t="s">
        <v>2980</v>
      </c>
      <c r="N9" t="s">
        <v>2520</v>
      </c>
    </row>
    <row r="10" spans="1:18">
      <c r="N10" t="s">
        <v>2521</v>
      </c>
    </row>
    <row r="11" spans="1:18">
      <c r="A11" t="s">
        <v>2981</v>
      </c>
      <c r="J11" s="13"/>
    </row>
    <row r="12" spans="1:18">
      <c r="A12" t="s">
        <v>2982</v>
      </c>
    </row>
    <row r="13" spans="1:18">
      <c r="A13" t="s">
        <v>2983</v>
      </c>
    </row>
    <row r="14" spans="1:18">
      <c r="A14" t="s">
        <v>2984</v>
      </c>
    </row>
    <row r="15" spans="1:18">
      <c r="A15" t="s">
        <v>2985</v>
      </c>
    </row>
    <row r="16" spans="1:18">
      <c r="A16" t="s">
        <v>2986</v>
      </c>
      <c r="N16" s="21"/>
      <c r="O16" s="21"/>
      <c r="P16" s="21"/>
      <c r="Q16" s="21"/>
      <c r="R16" s="21"/>
    </row>
    <row r="17" spans="1:19">
      <c r="N17" s="21"/>
      <c r="O17" s="21"/>
      <c r="P17" s="21"/>
      <c r="Q17" s="21"/>
      <c r="R17" s="21"/>
    </row>
    <row r="19" spans="1:19" ht="15" customHeight="1">
      <c r="A19" s="48"/>
      <c r="S19" s="21"/>
    </row>
    <row r="20" spans="1:19">
      <c r="A20" s="48"/>
      <c r="S20" s="21"/>
    </row>
    <row r="22" spans="1:19">
      <c r="A22" t="s">
        <v>2522</v>
      </c>
    </row>
    <row r="24" spans="1:19">
      <c r="A24" t="s">
        <v>2523</v>
      </c>
    </row>
    <row r="25" spans="1:19">
      <c r="A25" t="s">
        <v>2524</v>
      </c>
    </row>
    <row r="26" spans="1:19">
      <c r="A26" t="s">
        <v>2525</v>
      </c>
      <c r="B26" t="s">
        <v>2526</v>
      </c>
    </row>
    <row r="28" spans="1:19">
      <c r="A28" t="s">
        <v>2527</v>
      </c>
    </row>
    <row r="29" spans="1:19">
      <c r="A29" t="s">
        <v>2528</v>
      </c>
    </row>
    <row r="30" spans="1:19">
      <c r="A30" t="s">
        <v>2529</v>
      </c>
    </row>
    <row r="31" spans="1:19">
      <c r="A31" t="s">
        <v>2530</v>
      </c>
    </row>
    <row r="32" spans="1:19">
      <c r="A32" t="s">
        <v>2531</v>
      </c>
    </row>
    <row r="33" spans="1:19">
      <c r="A33" t="s">
        <v>2532</v>
      </c>
      <c r="R33" s="51" t="s">
        <v>2533</v>
      </c>
      <c r="S33" t="s">
        <v>2534</v>
      </c>
    </row>
    <row r="34" spans="1:19">
      <c r="A34" t="s">
        <v>2535</v>
      </c>
      <c r="B34" t="s">
        <v>2536</v>
      </c>
      <c r="R34" t="s">
        <v>2537</v>
      </c>
      <c r="S34" t="s">
        <v>2538</v>
      </c>
    </row>
    <row r="35" spans="1:19">
      <c r="R35" t="s">
        <v>2539</v>
      </c>
      <c r="S35" t="s">
        <v>720</v>
      </c>
    </row>
    <row r="36" spans="1:19">
      <c r="R36" t="s">
        <v>2540</v>
      </c>
      <c r="S36" t="s">
        <v>2418</v>
      </c>
    </row>
    <row r="37" spans="1:19">
      <c r="R37" t="s">
        <v>2541</v>
      </c>
      <c r="S37" t="s">
        <v>2542</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2015-07-14T16:03:02Z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