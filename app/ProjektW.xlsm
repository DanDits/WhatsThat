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5"/>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r:id="rId8"/>
  </sheet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<sst xmlns="http://schemas.openxmlformats.org/spreadsheetml/2006/main" count="4632" uniqueCount="3323">
  <si>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</si>
  <si>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</si>
  <si>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</si>
  <si>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</si>
  <si>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</si>
  <si>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</si>
  <si>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</si>
  <si>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</si>
  <si>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</si>
  <si>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</si>
  <si>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</si>
  <si>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</si>
  <si>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</si>
  <si>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</si>
  <si>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</si>
  <si>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</si>
  <si>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</si>
  <si>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</si>
  <si>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</si>
  <si>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</si>
  <si>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</si>
  <si>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</si>
  <si>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</si>
  <si>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</si>
  <si>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</si>
  <si>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</si>
  <si>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</si>
  <si>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</si>
  <si>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</si>
  <si>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</si>
  <si>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</si>
  <si>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</si>
  <si>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</si>
  <si>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</si>
  <si>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</si>
  <si>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</si>
  <si>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</si>
  <si>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</si>
  <si>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</si>
  <si>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</si>
  <si>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</si>
  <si>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</si>
  <si>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</si>
  <si>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</si>
  <si>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</si>
  <si>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</si>
  <si>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</si>
  <si>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</si>
  <si>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</si>
  <si>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</si>
  <si>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</si>
  <si>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</si>
  <si>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</si>
  <si>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</si>
  <si>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</si>
  <si>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</si>
  <si>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</si>
  <si>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</si>
  <si>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</si>
  <si>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</si>
  <si>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</si>
  <si>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</si>
  <si>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</si>
  <si>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</si>
  <si>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</si>
  <si>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</si>
  <si>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</si>
  <si>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</si>
  <si>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</si>
  <si>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</si>
  <si>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</si>
  <si>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</si>
  <si>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</si>
  <si>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</si>
  <si>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</si>
  <si>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</si>
  <si>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</si>
  <si>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</si>
  <si>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</si>
  <si>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</si>
  <si>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</si>
  <si>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</si>
  <si>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</si>
  <si>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</si>
  <si>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</si>
  <si>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</si>
  <si>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</si>
  <si>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</si>
  <si>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</si>
  <si>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</si>
  <si>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</si>
  <si>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</si>
  <si>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</si>
  <si>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</si>
  <si>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</si>
  <si>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</si>
  <si>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</si>
  <si>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</si>
  <si>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</si>
  <si>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</si>
  <si>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</si>
  <si>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</si>
  <si>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</si>
  <si>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</si>
  <si>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</si>
  <si>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</si>
  <si>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</si>
  <si>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</si>
  <si>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</si>
  <si>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</si>
  <si>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</si>
  <si>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</si>
  <si>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</si>
  <si>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</si>
  <si>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</si>
  <si>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</si>
  <si>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</si>
  <si>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</si>
  <si>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</si>
  <si>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</si>
  <si>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</si>
  <si>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</si>
  <si>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</si>
  <si>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</si>
  <si>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</si>
  <si>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</si>
  <si>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</si>
  <si>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</si>
  <si>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</si>
  <si>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</si>
  <si>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</si>
  <si>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</si>
  <si>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</si>
  <si>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</si>
  <si>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</si>
  <si>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</si>
  <si>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</si>
  <si>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</si>
  <si>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</si>
  <si>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</si>
  <si>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</si>
  <si>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</si>
  <si>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</si>
  <si>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</si>
  <si>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</si>
  <si>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</si>
  <si>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</si>
  <si>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</si>
  <si>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</si>
  <si>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</si>
  <si>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</si>
  <si>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</si>
  <si>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</si>
  <si>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</si>
  <si>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</si>
  <si>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</si>
  <si>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</si>
  <si>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</si>
  <si>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</si>
  <si>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</si>
  <si>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</si>
  <si>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</si>
  <si>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</si>
  <si>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</si>
  <si>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</si>
  <si>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</si>
  <si>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</si>
  <si>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</si>
  <si>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</si>
  <si>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</si>
  <si>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</si>
  <si>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</si>
  <si>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</si>
  <si>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</si>
  <si>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</si>
  <si>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</si>
  <si>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</si>
  <si>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</si>
  <si>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</si>
  <si>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</si>
  <si>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</si>
  <si>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</si>
  <si>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</si>
  <si>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</si>
  <si>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</si>
  <si>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</si>
  <si>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</si>
  <si>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</si>
  <si>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</si>
  <si>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</si>
  <si>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</si>
  <si>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</si>
  <si>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</si>
  <si>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</si>
  <si>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</si>
  <si>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</si>
  <si>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</si>
  <si>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</si>
  <si>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</si>
  <si>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</si>
  <si>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</si>
  <si>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</si>
  <si>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</si>
  <si>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</si>
  <si>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</si>
  <si>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</si>
  <si>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</si>
  <si>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</si>
  <si>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</si>
  <si>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</si>
  <si>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</si>
  <si>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</si>
  <si>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</si>
  <si>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</si>
  <si>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</si>
  <si>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</si>
  <si>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</si>
  <si>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</si>
  <si>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</si>
  <si>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</si>
  <si>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</si>
  <si>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</si>
  <si>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</si>
  <si>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</si>
  <si>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</si>
  <si>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</si>
  <si>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</si>
  <si>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</si>
  <si>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</si>
  <si>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</si>
  <si>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</si>
  <si>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</si>
  <si>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</si>
  <si>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</si>
  <si>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</si>
  <si>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</si>
  <si>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</si>
  <si>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</si>
  <si>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</si>
  <si>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</si>
  <si>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</si>
  <si>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</si>
  <si>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</si>
  <si>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</si>
  <si>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</si>
  <si>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</si>
  <si>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</si>
  <si>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</si>
  <si>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</si>
  <si>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</si>
  <si>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</si>
  <si>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</si>
  <si>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</si>
  <si>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</si>
  <si>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</si>
  <si>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</si>
  <si>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</si>
  <si>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</si>
  <si>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</si>
  <si>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</si>
  <si>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</si>
  <si>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</si>
  <si>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</si>
  <si>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</si>
  <si>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</si>
  <si>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</si>
  <si>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</si>
  <si>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</si>
  <si>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</si>
  <si>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</si>
  <si>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</si>
  <si>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</si>
  <si>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</si>
  <si>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</si>
  <si>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</si>
  <si>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</si>
  <si>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</si>
  <si>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</si>
  <si>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</si>
  <si>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</si>
  <si>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</si>
  <si>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</si>
  <si>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</si>
  <si>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</si>
  <si>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</si>
  <si>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</si>
  <si>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</si>
  <si>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</si>
  <si>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</si>
  <si>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</si>
  <si>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</si>
  <si>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</si>
  <si>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</si>
  <si>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</si>
  <si>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</si>
  <si>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</si>
  <si>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</si>
  <si>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</si>
  <si>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</si>
  <si>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</si>
  <si>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</si>
  <si>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</si>
  <si>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</si>
  <si>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</si>
  <si>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</si>
  <si>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</si>
  <si>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</si>
  <si>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</si>
  <si>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</si>
  <si>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</si>
  <si>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</si>
  <si>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</si>
  <si>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</si>
  <si>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</si>
  <si>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</si>
  <si>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</si>
  <si>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</si>
  <si>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</si>
  <si>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</si>
  <si>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</si>
  <si>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</si>
  <si>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</si>
  <si>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</si>
  <si>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</si>
  <si>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</si>
  <si>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</si>
  <si>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</si>
  <si>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</si>
  <si>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</si>
  <si>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</si>
  <si>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</si>
  <si>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</si>
  <si>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</si>
  <si>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</si>
  <si>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</si>
  <si>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</si>
  <si>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</si>
  <si>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</si>
  <si>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</si>
  <si>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</si>
  <si>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</si>
  <si>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</si>
  <si>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</si>
  <si>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</si>
  <si>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</si>
  <si>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</si>
  <si>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</si>
  <si>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</si>
  <si>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</si>
  <si>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</si>
  <si>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</si>
  <si>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</si>
  <si>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</si>
  <si>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</si>
  <si>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</si>
  <si>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</si>
  <si>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</si>
  <si>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</si>
  <si>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</si>
  <si>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</si>
  <si>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</si>
  <si>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</si>
  <si>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</si>
  <si>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</si>
  <si>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</si>
  <si>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</si>
  <si>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</si>
  <si>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</si>
  <si>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</si>
  <si>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</si>
  <si>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</si>
  <si>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</si>
  <si>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</si>
  <si>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</si>
  <si>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</si>
  <si>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</si>
  <si>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</si>
  <si>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</si>
  <si>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</si>
  <si>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</si>
  <si>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</si>
  <si>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</si>
  <si>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</si>
  <si>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</si>
  <si>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</si>
  <si>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</si>
  <si>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</si>
  <si>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</si>
  <si>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</si>
  <si>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</si>
  <si>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</si>
  <si>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</si>
  <si>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</si>
  <si>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</si>
  <si>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</si>
  <si>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</si>
  <si>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</si>
  <si>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</si>
  <si>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</si>
  <si>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</si>
  <si>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</si>
  <si>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</si>
  <si>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</si>
  <si>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</si>
  <si>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</si>
  <si>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</si>
  <si>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</si>
  <si>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</si>
  <si>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</si>
  <si>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</si>
  <si>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</si>
  <si>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</si>
  <si>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</si>
  <si>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</si>
  <si>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</si>
  <si>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</si>
  <si>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</si>
  <si>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</si>
  <si>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</si>
  <si>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</si>
  <si>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</si>
  <si>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</si>
  <si>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</si>
  <si>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</si>
  <si>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</si>
  <si>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</si>
  <si>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</si>
  <si>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</si>
  <si>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</si>
  <si>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</si>
  <si>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</si>
  <si>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</si>
  <si>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</si>
  <si>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</si>
  <si>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</si>
  <si>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</si>
  <si>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</si>
  <si>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</si>
  <si>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</si>
  <si>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</si>
  <si>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</si>
  <si>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</si>
  <si>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</si>
  <si>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</si>
  <si>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</si>
  <si>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</si>
  <si>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</si>
  <si>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</si>
  <si>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</si>
  <si>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</si>
  <si>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</si>
  <si>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</si>
  <si>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</si>
  <si>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</si>
  <si>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</si>
  <si>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</si>
  <si>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</si>
  <si>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</si>
  <si>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</si>
  <si>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</si>
  <si>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</si>
  <si>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</si>
  <si>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</si>
  <si>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</si>
  <si>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</si>
  <si>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</si>
  <si>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</si>
  <si>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</si>
  <si>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</si>
  <si>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</si>
  <si>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</si>
  <si>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</si>
  <si>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</si>
  <si>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</si>
  <si>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</si>
  <si>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</si>
  <si>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</si>
  <si>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</si>
  <si>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</si>
  <si>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</si>
  <si>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</si>
  <si>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</si>
  <si>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</si>
  <si>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</si>
  <si>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</si>
  <si>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</si>
  <si>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</si>
  <si>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</si>
  <si>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</si>
  <si>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</si>
  <si>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</si>
  <si>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</si>
  <si>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</si>
  <si>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</si>
  <si>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</si>
  <si>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</si>
  <si>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</si>
  <si>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</si>
  <si>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</si>
  <si>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</si>
  <si>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</si>
  <si>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</si>
  <si>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</si>
  <si>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</si>
  <si>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</si>
  <si>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</si>
  <si>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</si>
  <si>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</si>
  <si>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</si>
  <si>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</si>
  <si>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</si>
  <si>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</si>
  <si>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</si>
  <si>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</si>
  <si>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</si>
  <si>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</si>
  <si>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</si>
  <si>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</si>
  <si>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</si>
  <si>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</si>
  <si>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</si>
  <si>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</si>
  <si>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</si>
  <si>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</si>
  <si>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</si>
  <si>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</si>
  <si>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</si>
  <si>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</si>
  <si>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</si>
  <si>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</si>
  <si>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</si>
  <si>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</si>
  <si>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</si>
  <si>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</si>
  <si>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</si>
  <si>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</si>
  <si>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</si>
  <si>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</si>
  <si>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</si>
  <si>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</si>
  <si>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</si>
  <si>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</si>
  <si>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</si>
  <si>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</si>
  <si>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</si>
  <si>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</si>
  <si>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</si>
  <si>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</si>
  <si>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</si>
  <si>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</si>
  <si>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</si>
  <si>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</si>
  <si>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</si>
  <si>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</si>
  <si>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</si>
  <si>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</si>
  <si>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</si>
  <si>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</si>
  <si>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</si>
  <si>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</si>
  <si>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</si>
  <si>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</si>
  <si>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</si>
  <si>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</si>
  <si>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</si>
  <si>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</si>
  <si>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</si>
  <si>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</si>
  <si>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</si>
  <si>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</si>
  <si>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</si>
  <si>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</si>
  <si>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</si>
  <si>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</si>
  <si>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</si>
  <si>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</si>
  <si>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</si>
  <si>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</si>
  <si>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</si>
  <si>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</si>
  <si>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</si>
  <si>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</si>
  <si>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</si>
  <si>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</si>
  <si>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</si>
  <si>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</si>
  <si>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</si>
  <si>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</si>
  <si>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</si>
  <si>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</si>
  <si>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</si>
  <si>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</si>
  <si>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</si>
  <si>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</si>
  <si>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</si>
  <si>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</si>
  <si>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</si>
  <si>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</si>
  <si>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</si>
  <si>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</si>
  <si>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</si>
  <si>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</si>
  <si>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</si>
  <si>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</si>
  <si>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</si>
  <si>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</si>
  <si>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</si>
  <si>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</si>
  <si>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</si>
  <si>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</si>
  <si>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</si>
  <si>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</si>
  <si>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</si>
  <si>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</si>
  <si>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</si>
  <si>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</si>
  <si>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</si>
  <si>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</si>
  <si>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</si>
  <si>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</si>
  <si>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</si>
  <si>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</si>
  <si>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</si>
  <si>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</si>
  <si>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</si>
  <si>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</si>
  <si>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</si>
  <si>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</si>
  <si>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</si>
  <si>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</si>
  <si>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</si>
  <si>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</si>
  <si>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</si>
  <si>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</si>
  <si>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</si>
  <si>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</si>
  <si>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</si>
  <si>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</si>
  <si>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</si>
  <si>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</si>
  <si>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</si>
  <si>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</si>
  <si>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</si>
  <si>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</si>
  <si>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</si>
  <si>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</si>
  <si>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</si>
  <si>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</si>
  <si>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</si>
  <si>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</si>
  <si>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</si>
  <si>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</si>
  <si>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</si>
  <si>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</si>
  <si>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</si>
  <si>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</si>
  <si>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</si>
  <si>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</si>
  <si>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</si>
  <si>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</si>
  <si>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</si>
  <si>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</si>
  <si>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</si>
  <si>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</si>
  <si>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</si>
  <si>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</si>
  <si>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</si>
  <si>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</si>
  <si>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</si>
  <si>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</si>
  <si>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</si>
  <si>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</si>
  <si>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</si>
  <si>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</si>
  <si>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</si>
  <si>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</si>
  <si>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</si>
  <si>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</si>
  <si>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</si>
  <si>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</si>
  <si>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</si>
  <si>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</si>
  <si>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</si>
  <si>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</si>
  <si>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</si>
  <si>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</si>
  <si>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</si>
  <si>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</si>
  <si>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</si>
  <si>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</si>
  <si>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</si>
  <si>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</si>
  <si>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</si>
  <si>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</si>
  <si>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</si>
  <si>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</si>
  <si>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</si>
  <si>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</si>
  <si>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</si>
  <si>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</si>
  <si>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</si>
  <si>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</si>
  <si>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</si>
  <si>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</si>
  <si>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</si>
  <si>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</si>
  <si>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</si>
  <si>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</si>
  <si>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</si>
  <si>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</si>
  <si>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</si>
  <si>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</si>
  <si>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</si>
  <si>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</si>
  <si>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</si>
  <si>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</si>
  <si>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</si>
  <si>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</si>
  <si>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</si>
  <si>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</si>
  <si>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</si>
  <si>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</si>
  <si>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</si>
  <si>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</si>
  <si>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</si>
  <si>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</si>
  <si>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</si>
  <si>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</si>
  <si>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</si>
  <si>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</si>
  <si>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</si>
  <si>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</si>
  <si>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</si>
  <si>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</si>
  <si>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</si>
  <si>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</si>
  <si>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</si>
  <si>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</si>
  <si>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</si>
  <si>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</si>
  <si>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</si>
  <si>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</si>
  <si>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</si>
  <si>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</si>
  <si>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</si>
  <si>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</si>
  <si>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</si>
  <si>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</si>
  <si>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</si>
  <si>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</si>
  <si>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</si>
  <si>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</si>
  <si>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</si>
  <si>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</si>
  <si>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</si>
  <si>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</si>
  <si>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</si>
  <si>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</si>
  <si>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</si>
  <si>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</si>
  <si>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</si>
  <si>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</si>
  <si>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</si>
  <si>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</si>
  <si>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</si>
  <si>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</si>
  <si>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</si>
  <si>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</si>
  <si>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</si>
  <si>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</si>
  <si>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</si>
  <si>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</si>
  <si>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</si>
  <si>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</si>
  <si>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</si>
  <si>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</si>
  <si>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</si>
  <si>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</si>
  <si>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</si>
  <si>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</si>
  <si>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</si>
  <si>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</si>
  <si>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</si>
  <si>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</si>
  <si>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</si>
  <si>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</si>
  <si>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</si>
  <si>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</si>
  <si>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</si>
  <si>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</si>
  <si>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</si>
  <si>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</si>
  <si>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</si>
  <si>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</si>
  <si>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</si>
  <si>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</si>
  <si>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</si>
  <si>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</si>
  <si>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</si>
  <si>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</si>
  <si>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</si>
  <si>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</si>
  <si>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</si>
  <si>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</si>
  <si>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</si>
  <si>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</si>
  <si>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</si>
  <si>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</si>
  <si>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</si>
  <si>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</si>
  <si>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</si>
  <si>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</si>
  <si>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</si>
  <si>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</si>
  <si>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</si>
  <si>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</si>
  <si>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</si>
  <si>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</si>
  <si>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</si>
  <si>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</si>
  <si>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</si>
  <si>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</si>
  <si>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</si>
  <si>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</si>
  <si>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</si>
  <si>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</si>
  <si>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</si>
  <si>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</si>
  <si>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</si>
  <si>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</si>
  <si>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</si>
  <si>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</si>
  <si>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</si>
  <si>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</si>
  <si>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</si>
  <si>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</si>
  <si>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</si>
  <si>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</si>
  <si>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</si>
  <si>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</si>
  <si>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</si>
  <si>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</si>
  <si>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</si>
  <si>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</si>
  <si>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</si>
  <si>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</si>
  <si>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</si>
  <si>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</si>
  <si>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</si>
  <si>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</si>
  <si>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</si>
  <si>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</si>
  <si>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</si>
  <si>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</si>
  <si>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</si>
  <si>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</si>
  <si>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</si>
  <si>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</si>
  <si>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</si>
  <si>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</si>
  <si>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</si>
  <si>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</si>
  <si>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</si>
  <si>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</si>
  <si>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</si>
  <si>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</si>
  <si>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</si>
  <si>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</si>
  <si>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</si>
  <si>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</si>
  <si>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</si>
  <si>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</si>
  <si>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</si>
  <si>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</si>
  <si>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</si>
  <si>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</si>
  <si>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</si>
  <si>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</si>
  <si>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</si>
  <si>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</si>
  <si>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</si>
  <si>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</si>
  <si>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</si>
  <si>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</si>
  <si>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</si>
  <si>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</si>
  <si>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</si>
  <si>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</si>
  <si>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</si>
  <si>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</si>
  <si>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</si>
  <si>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</si>
  <si>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</si>
  <si>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</si>
  <si>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</si>
  <si>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</si>
  <si>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</si>
  <si>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</si>
  <si>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</si>
  <si>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</si>
  <si>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</si>
  <si>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</si>
  <si>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</si>
  <si>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</si>
  <si>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</si>
  <si>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</si>
  <si>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</si>
  <si>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</si>
  <si>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</si>
  <si>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</si>
  <si>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</si>
  <si>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</si>
  <si>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</si>
  <si>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</si>
  <si>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</si>
  <si>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</si>
  <si>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</si>
  <si>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</si>
  <si>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</si>
  <si>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</si>
  <si>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</si>
  <si>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</si>
  <si>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</si>
  <si>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</si>
  <si>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</si>
  <si>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</si>
  <si>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</si>
  <si>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</si>
  <si>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</si>
  <si>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</si>
  <si>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</si>
  <si>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</si>
  <si>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</si>
  <si>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</si>
  <si>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</si>
  <si>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</si>
  <si>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</si>
  <si>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</si>
  <si>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</si>
  <si>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</si>
  <si>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</si>
  <si>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</si>
  <si>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</si>
  <si>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</si>
  <si>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</si>
  <si>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</si>
  <si>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</si>
  <si>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</si>
  <si>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</si>
  <si>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</si>
  <si>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</si>
  <si>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</si>
  <si>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</si>
  <si>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</si>
  <si>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</si>
  <si>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</si>
  <si>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</si>
  <si>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</si>
  <si>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</si>
  <si>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</si>
  <si>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</si>
  <si>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</si>
  <si>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</si>
  <si>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</si>
  <si>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</si>
  <si>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</si>
  <si>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</si>
  <si>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</si>
  <si>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</si>
  <si>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</si>
  <si>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</si>
  <si>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</si>
  <si>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</si>
  <si>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</si>
  <si>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</si>
  <si>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</si>
  <si>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</si>
  <si>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</si>
  <si>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</si>
  <si>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</si>
  <si>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</si>
  <si>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</si>
  <si>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</si>
  <si>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</si>
  <si>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</si>
  <si>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</si>
  <si>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</si>
  <si>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</si>
  <si>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</si>
  <si>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</si>
  <si>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</si>
  <si>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</si>
  <si>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</si>
  <si>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</si>
  <si>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</si>
  <si>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</si>
  <si>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</si>
  <si>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</si>
  <si>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</si>
  <si>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</si>
  <si>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</si>
  <si>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</si>
  <si>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</si>
  <si>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</si>
  <si>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</si>
  <si>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</si>
  <si>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</si>
  <si>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</si>
  <si>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</si>
  <si>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</si>
  <si>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</si>
  <si>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</si>
  <si>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</si>
  <si>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</si>
  <si>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</si>
  <si>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</si>
  <si>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</si>
  <si>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</si>
  <si>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</si>
  <si>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</si>
  <si>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</si>
  <si>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</si>
  <si>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</si>
  <si>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</si>
  <si>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</si>
  <si>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</si>
  <si>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</si>
  <si>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</si>
  <si>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</si>
  <si>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</si>
  <si>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</si>
  <si>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</si>
  <si>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</si>
  <si>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</si>
  <si>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</si>
  <si>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</si>
  <si>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</si>
  <si>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</si>
  <si>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</si>
  <si>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</si>
  <si>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</si>
  <si>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</si>
  <si>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</si>
  <si>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</si>
  <si>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</si>
  <si>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</si>
  <si>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</si>
  <si>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</si>
  <si>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</si>
  <si>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</si>
  <si>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</si>
  <si>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</si>
  <si>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</si>
  <si>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</si>
  <si>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</si>
  <si>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</si>
  <si>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</si>
  <si>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</si>
  <si>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</si>
  <si>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</si>
  <si>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</si>
  <si>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</si>
  <si>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</si>
  <si>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</si>
  <si>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</si>
  <si>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</si>
  <si>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</si>
  <si>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</si>
  <si>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</si>
  <si>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</si>
  <si>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</si>
  <si>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</si>
  <si>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</si>
  <si>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</si>
  <si>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</si>
  <si>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</si>
  <si>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</si>
  <si>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</si>
  <si>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</si>
  <si>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</si>
  <si>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</si>
  <si>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</si>
  <si>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</si>
  <si>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</si>
  <si>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</si>
  <si>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</si>
  <si>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</si>
  <si>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</si>
  <si>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</si>
  <si>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</si>
  <si>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</si>
  <si>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</si>
  <si>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</si>
  <si>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</si>
  <si>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</si>
  <si>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</si>
  <si>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</si>
  <si>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</si>
  <si>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</si>
  <si>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</si>
  <si>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</si>
  <si>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</si>
  <si>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</si>
  <si>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</si>
  <si>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</si>
  <si>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</si>
  <si>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</si>
  <si>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</si>
  <si>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</si>
  <si>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</si>
  <si>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</si>
  <si>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</si>
  <si>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</si>
  <si>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</si>
  <si>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</si>
  <si>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</si>
  <si>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</si>
  <si>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</si>
  <si>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</si>
  <si>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</si>
  <si>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</si>
  <si>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</si>
  <si>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</si>
  <si>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</si>
  <si>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</si>
  <si>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</si>
  <si>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</si>
  <si>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</si>
  <si>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</si>
  <si>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</si>
  <si>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</si>
  <si>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</si>
  <si>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</si>
  <si>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</si>
  <si>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</si>
  <si>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</si>
  <si>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</si>
  <si>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</si>
  <si>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</si>
  <si>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</si>
  <si>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</si>
  <si>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</si>
  <si>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</si>
  <si>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</si>
  <si>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</si>
  <si>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</si>
  <si>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</si>
  <si>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</si>
  <si>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</si>
  <si>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</si>
  <si>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</si>
  <si>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</si>
  <si>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</si>
  <si>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</si>
  <si>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</si>
  <si>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</si>
  <si>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</si>
  <si>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</si>
  <si>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</si>
  <si>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</si>
  <si>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</si>
  <si>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</si>
  <si>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</si>
  <si>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</si>
  <si>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</si>
  <si>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</si>
  <si>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</si>
  <si>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</si>
  <si>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</si>
  <si>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</si>
  <si>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</si>
  <si>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</si>
  <si>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</si>
  <si>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</si>
  <si>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</si>
  <si>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</si>
  <si>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</si>
  <si>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</si>
  <si>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</si>
  <si>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</si>
  <si>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</si>
  <si>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</si>
  <si>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</si>
  <si>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</si>
  <si>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</si>
  <si>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</si>
  <si>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</si>
  <si>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</si>
  <si>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</si>
  <si>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</si>
  <si>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</si>
  <si>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</si>
  <si>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</si>
  <si>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</si>
  <si>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</si>
  <si>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</si>
  <si>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</si>
  <si>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</si>
  <si>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</si>
  <si>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</si>
  <si>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</si>
  <si>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</si>
  <si>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</si>
  <si>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</si>
  <si>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</si>
  <si>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</si>
  <si>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</si>
  <si>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</si>
  <si>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</si>
  <si>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</si>
  <si>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</si>
  <si>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</si>
  <si>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</si>
  <si>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</si>
  <si>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</si>
  <si>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</si>
  <si>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</si>
  <si>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</si>
  <si>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</si>
  <si>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</si>
  <si>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</si>
  <si>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</si>
  <si>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</si>
  <si>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</si>
  <si>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</si>
  <si>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</si>
  <si>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</si>
  <si>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</si>
  <si>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</si>
  <si>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</si>
  <si>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</si>
  <si>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</si>
  <si>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</si>
  <si>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</si>
  <si>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</si>
  <si>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</si>
  <si>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</si>
  <si>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</si>
  <si>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</si>
  <si>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</si>
  <si>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</si>
  <si>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</si>
  <si>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</si>
  <si>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</si>
  <si>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</si>
  <si>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</si>
  <si>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</si>
  <si>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</si>
  <si>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</si>
  <si>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</si>
  <si>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</si>
  <si>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</si>
  <si>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</si>
  <si>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</si>
  <si>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</si>
  <si>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</si>
  <si>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</si>
  <si>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</si>
  <si>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</si>
  <si>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</si>
  <si>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</si>
  <si>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</si>
  <si>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</si>
  <si>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</si>
  <si>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</si>
  <si>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</si>
  <si>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</si>
  <si>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</si>
  <si>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</si>
  <si>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</si>
  <si>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</si>
  <si>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</si>
  <si>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</si>
  <si>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</si>
  <si>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</si>
  <si>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</si>
  <si>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</si>
  <si>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</si>
  <si>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</si>
  <si>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</si>
  <si>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</si>
  <si>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</si>
  <si>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</si>
  <si>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</si>
  <si>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</si>
  <si>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</si>
  <si>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</si>
  <si>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</si>
  <si>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</si>
  <si>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</si>
  <si>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</si>
  <si>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</si>
  <si>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</si>
  <si>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</si>
  <si>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</si>
  <si>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</si>
  <si>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</si>
  <si>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</si>
  <si>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</si>
  <si>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</si>
  <si>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</si>
  <si>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</si>
  <si>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</si>
  <si>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</si>
  <si>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</si>
  <si>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</si>
  <si>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</si>
  <si>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</si>
  <si>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</si>
  <si>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</si>
  <si>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</si>
  <si>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</si>
  <si>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</si>
  <si>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</si>
  <si>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</si>
  <si>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</si>
  <si>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</si>
  <si>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</si>
  <si>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</si>
  <si>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</si>
  <si>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</si>
  <si>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</si>
  <si>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</si>
  <si>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</si>
  <si>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</si>
  <si>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</si>
  <si>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</si>
  <si>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</si>
  <si>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</si>
  <si>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</si>
  <si>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</si>
  <si>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</si>
  <si>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</si>
  <si>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</si>
  <si>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</si>
  <si>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</si>
  <si>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</si>
  <si>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</si>
  <si>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</si>
  <si>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</si>
  <si>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</si>
  <si>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</si>
  <si>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</si>
  <si>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</si>
  <si>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</si>
  <si>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</si>
  <si>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</si>
  <si>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</si>
  <si>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</si>
  <si>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</si>
  <si>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</si>
  <si>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</si>
  <si>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</si>
  <si>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</si>
  <si>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</si>
  <si>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</si>
  <si>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</si>
  <si>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</si>
  <si>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</si>
  <si>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</si>
  <si>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</si>
  <si>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</si>
  <si>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</si>
  <si>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</si>
  <si>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</si>
  <si>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</si>
  <si>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</si>
  <si>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</si>
  <si>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</si>
  <si>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</si>
  <si>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</si>
  <si>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</si>
  <si>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</si>
  <si>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</si>
  <si>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</si>
  <si>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</si>
  <si>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</si>
  <si>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</si>
  <si>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</si>
  <si>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</si>
  <si>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</si>
  <si>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</si>
  <si>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</si>
  <si>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</si>
  <si>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</si>
  <si>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</si>
  <si>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</si>
  <si>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</si>
  <si>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</si>
  <si>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</si>
  <si>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</si>
  <si>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</si>
  <si>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</si>
  <si>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</si>
  <si>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</si>
  <si>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</si>
  <si>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</si>
  <si>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</si>
  <si>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</si>
  <si>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</si>
  <si>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</si>
  <si>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</si>
  <si>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</si>
  <si>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</si>
  <si>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</si>
  <si>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</si>
  <si>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</si>
  <si>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</si>
  <si>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</si>
  <si>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</si>
  <si>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</si>
  <si>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</si>
  <si>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</si>
  <si>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</si>
  <si>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</si>
  <si>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</si>
  <si>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</si>
  <si>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</si>
  <si>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</si>
  <si>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</si>
  <si>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</si>
  <si>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</si>
  <si>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</si>
  <si>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</si>
  <si>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</si>
  <si>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</si>
  <si>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</si>
  <si>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</si>
  <si>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</si>
  <si>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</si>
  <si>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</si>
  <si>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</si>
  <si>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</si>
  <si>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</si>
  <si>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</si>
  <si>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</si>
  <si>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</si>
  <si>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</si>
  <si>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</si>
  <si>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</si>
  <si>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</si>
  <si>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</si>
  <si>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</si>
  <si>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</si>
  <si>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</si>
  <si>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</si>
  <si>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</si>
  <si>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</si>
  <si>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</si>
  <si>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</si>
  <si>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</si>
  <si>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</si>
  <si>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</si>
  <si>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</si>
  <si>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</si>
  <si>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</si>
  <si>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</si>
  <si>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</si>
  <si>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</si>
  <si>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</si>
  <si>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</si>
  <si>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</si>
  <si>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</si>
  <si>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</si>
  <si>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</si>
  <si>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</si>
  <si>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</si>
  <si>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</si>
  <si>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</si>
  <si>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</si>
  <si>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</si>
  <si>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</si>
  <si>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</si>
  <si>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</si>
  <si>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</si>
  <si>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</si>
  <si>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</si>
  <si>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</si>
  <si>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</si>
  <si>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</si>
  <si>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</si>
  <si>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</si>
  <si>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</si>
  <si>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</si>
  <si>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</si>
  <si>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</si>
  <si>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</si>
  <si>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</si>
  <si>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</si>
  <si>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</si>
  <si>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</si>
  <si>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</si>
  <si>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</si>
  <si>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</si>
  <si>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</si>
  <si>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</si>
  <si>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</si>
  <si>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</si>
  <si>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</si>
  <si>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</si>
  <si>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</si>
  <si>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</si>
  <si>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</si>
  <si>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</si>
  <si>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</si>
  <si>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</si>
  <si>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</si>
  <si>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</si>
  <si>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</si>
  <si>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</si>
  <si>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</si>
  <si>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</si>
  <si>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</si>
  <si>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</si>
  <si>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</si>
  <si>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</si>
  <si>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</si>
  <si>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</si>
  <si>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</si>
  <si>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</si>
  <si>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</si>
  <si>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</si>
  <si>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</si>
  <si>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</si>
  <si>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</si>
  <si>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</si>
  <si>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</si>
  <si>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</si>
  <si>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</si>
  <si>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</si>
  <si>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</si>
  <si>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</si>
  <si>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</si>
  <si>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</si>
  <si>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</si>
  <si>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</si>
  <si>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</si>
  <si>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</si>
  <si>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</si>
  <si>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</si>
  <si>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</si>
  <si>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Finger Pointing</t>
  </si>
  <si>
    <t>http://pixabay.com/de/hand-recht-point-nach-oben-finger-309924/</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</si>
  <si>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</si>
  <si>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</si>
  <si>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</si>
  <si>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</si>
  <si>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</si>
  <si>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</si>
  <si>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</si>
  <si>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</si>
  <si>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</si>
  <si>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</si>
  <si>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</si>
  <si>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</si>
  <si>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</si>
  <si>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</si>
  <si>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</si>
  <si>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</si>
  <si>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</si>
  <si>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</si>
  <si>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</si>
  <si>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</si>
  <si>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</si>
  <si>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</si>
  <si>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</si>
  <si>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</si>
  <si>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</si>
  <si>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</si>
  <si>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</si>
  <si>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</si>
  <si>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</si>
  <si>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</si>
  <si>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</si>
  <si>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</si>
  <si>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</si>
  <si>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</si>
  <si>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</si>
  <si>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</si>
  <si>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</si>
  <si>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</si>
  <si>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</si>
  <si>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</si>
  <si>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</si>
  <si>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</si>
  <si>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</si>
  <si>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</si>
  <si>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</si>
  <si>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</si>
  <si>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</si>
  <si>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</si>
  <si>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</si>
  <si>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</si>
  <si>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</si>
  <si>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</si>
  <si>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</si>
  <si>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</si>
  <si>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</si>
  <si>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</si>
  <si>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</si>
  <si>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</si>
  <si>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</si>
  <si>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</si>
  <si>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</si>
  <si>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</si>
  <si>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</si>
  <si>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</si>
  <si>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</si>
  <si>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</si>
  <si>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</si>
  <si>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</si>
  <si>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</si>
  <si>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</si>
  <si>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</si>
  <si>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</si>
  <si>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</si>
  <si>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</si>
  <si>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</si>
  <si>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</si>
  <si>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</si>
  <si>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</si>
  <si>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</si>
  <si>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</si>
  <si>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</si>
  <si>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</si>
  <si>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</si>
  <si>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</si>
  <si>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</si>
  <si>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</si>
  <si>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</si>
  <si>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</si>
  <si>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</si>
  <si>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</si>
  <si>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</si>
  <si>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</si>
  <si>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</si>
  <si>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</si>
  <si>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</si>
  <si>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</si>
  <si>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</si>
  <si>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</si>
  <si>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</si>
  <si>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</si>
  <si>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</si>
  <si>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</si>
  <si>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</si>
  <si>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</si>
  <si>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</si>
  <si>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</si>
  <si>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</si>
  <si>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</si>
  <si>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</si>
  <si>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</si>
  <si>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</si>
  <si>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</si>
  <si>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</si>
  <si>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</si>
  <si>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</si>
  <si>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</si>
  <si>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</si>
  <si>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</si>
  <si>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</si>
  <si>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</si>
  <si>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</si>
  <si>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</si>
  <si>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</si>
  <si>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</si>
  <si>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</si>
  <si>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</si>
  <si>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</si>
  <si>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</si>
  <si>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</si>
  <si>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</si>
  <si>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</si>
  <si>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</si>
  <si>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</si>
  <si>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</si>
  <si>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</si>
  <si>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</si>
  <si>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</si>
  <si>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</si>
  <si>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</si>
  <si>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</si>
  <si>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</si>
  <si>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</si>
  <si>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</si>
  <si>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</si>
  <si>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</si>
  <si>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</si>
  <si>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</si>
  <si>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</si>
  <si>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</si>
  <si>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</si>
  <si>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</si>
  <si>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</si>
  <si>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</si>
  <si>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</si>
  <si>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</si>
  <si>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</si>
  <si>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</si>
  <si>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</si>
  <si>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</si>
  <si>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</si>
  <si>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</si>
  <si>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</si>
  <si>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</si>
  <si>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</si>
  <si>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</si>
  <si>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</si>
  <si>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</si>
  <si>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</si>
  <si>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</si>
  <si>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</si>
  <si>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</si>
  <si>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</si>
  <si>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</si>
  <si>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</si>
  <si>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</si>
  <si>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</si>
  <si>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</si>
  <si>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</si>
  <si>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</si>
  <si>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</si>
  <si>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</si>
  <si>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</si>
  <si>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</si>
  <si>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</si>
  <si>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</si>
  <si>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</si>
  <si>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</si>
  <si>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</si>
  <si>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</si>
  <si>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</si>
  <si>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</si>
  <si>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</si>
  <si>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</si>
  <si>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</si>
  <si>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</si>
  <si>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</si>
  <si>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</si>
  <si>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</si>
  <si>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</si>
  <si>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</si>
  <si>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</si>
  <si>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</si>
  <si>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</si>
  <si>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</si>
  <si>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</si>
  <si>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</si>
  <si>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</si>
  <si>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</si>
  <si>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</si>
  <si>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</si>
  <si>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</si>
  <si>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</si>
  <si>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</si>
  <si>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</si>
  <si>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</si>
  <si>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</si>
  <si>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</si>
  <si>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</si>
  <si>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</si>
  <si>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</si>
  <si>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</si>
  <si>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</si>
  <si>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</si>
  <si>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</si>
  <si>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</si>
  <si>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</si>
  <si>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</si>
  <si>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</si>
  <si>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</si>
  <si>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</si>
  <si>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</si>
  <si>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</si>
  <si>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</si>
  <si>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</si>
  <si>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</si>
  <si>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</si>
  <si>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</si>
  <si>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</si>
  <si>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</si>
  <si>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</si>
  <si>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</si>
  <si>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</si>
  <si>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</si>
  <si>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</si>
  <si>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</si>
  <si>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</si>
  <si>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</si>
  <si>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</si>
  <si>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</si>
  <si>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</si>
  <si>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</si>
  <si>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</si>
  <si>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</si>
  <si>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</si>
  <si>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</si>
  <si>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</si>
  <si>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</si>
  <si>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</si>
  <si>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</si>
  <si>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</si>
  <si>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</si>
  <si>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</si>
  <si>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</si>
  <si>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</si>
  <si>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</si>
  <si>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</si>
  <si>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</si>
  <si>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</si>
  <si>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</si>
  <si>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</si>
  <si>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</si>
  <si>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</si>
  <si>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</si>
  <si>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</si>
  <si>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</si>
  <si>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</si>
  <si>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</si>
  <si>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</si>
  <si>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</si>
  <si>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</si>
  <si>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</si>
  <si>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</si>
  <si>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</si>
  <si>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</si>
  <si>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</si>
  <si>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</si>
  <si>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</si>
  <si>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</si>
  <si>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</si>
  <si>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</si>
  <si>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</si>
  <si>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</si>
  <si>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</si>
  <si>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</si>
  <si>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</si>
  <si>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</si>
  <si>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</si>
  <si>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</si>
  <si>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</si>
  <si>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</si>
  <si>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</si>
  <si>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</si>
  <si>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</si>
  <si>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</si>
  <si>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</si>
  <si>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</si>
  <si>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</si>
  <si>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</si>
  <si>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</si>
  <si>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</si>
  <si>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</si>
  <si>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</si>
  <si>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</si>
  <si>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</si>
  <si>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</si>
  <si>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</si>
  <si>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</si>
  <si>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</si>
  <si>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</si>
  <si>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</si>
  <si>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</si>
  <si>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</si>
  <si>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</si>
  <si>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</si>
  <si>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</si>
  <si>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</si>
  <si>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</si>
  <si>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</si>
  <si>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</si>
  <si>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</si>
  <si>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</si>
  <si>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</si>
  <si>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</si>
  <si>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</si>
  <si>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</si>
  <si>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</si>
  <si>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</si>
  <si>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</si>
  <si>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</si>
  <si>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</si>
  <si>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</si>
  <si>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</si>
  <si>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</si>
  <si>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</si>
  <si>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</si>
  <si>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</si>
  <si>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</si>
  <si>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</si>
  <si>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</si>
  <si>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</si>
  <si>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</si>
  <si>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</si>
  <si>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</si>
  <si>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</si>
  <si>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</si>
  <si>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</si>
  <si>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</si>
  <si>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</si>
  <si>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</si>
  <si>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</si>
  <si>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</si>
  <si>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</si>
  <si>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</si>
  <si>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</si>
  <si>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</si>
  <si>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</si>
  <si>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</si>
  <si>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</si>
  <si>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</si>
  <si>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</si>
  <si>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</si>
  <si>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</si>
  <si>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</si>
  <si>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</si>
  <si>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</si>
  <si>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</si>
  <si>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</si>
  <si>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</si>
  <si>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</si>
  <si>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</si>
  <si>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</si>
  <si>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</si>
  <si>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</si>
  <si>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</si>
  <si>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</si>
  <si>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</si>
  <si>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</si>
  <si>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</si>
  <si>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</si>
  <si>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</si>
  <si>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</si>
  <si>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</si>
  <si>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</si>
  <si>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</si>
  <si>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</si>
  <si>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</si>
  <si>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</si>
  <si>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</si>
  <si>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</si>
  <si>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</si>
  <si>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</si>
  <si>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</si>
  <si>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</si>
  <si>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</si>
  <si>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</si>
  <si>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</si>
  <si>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</si>
  <si>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</si>
  <si>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</si>
  <si>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</si>
  <si>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</si>
  <si>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</si>
  <si>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</si>
  <si>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</si>
  <si>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</si>
  <si>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</si>
  <si>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</si>
  <si>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</si>
  <si>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</si>
  <si>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</si>
  <si>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</si>
  <si>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</si>
  <si>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</si>
  <si>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</si>
  <si>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</si>
  <si>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</si>
  <si>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</si>
  <si>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</si>
  <si>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</si>
  <si>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</si>
  <si>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</si>
  <si>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</si>
  <si>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</si>
  <si>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</si>
  <si>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</si>
  <si>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</si>
  <si>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</si>
  <si>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</si>
  <si>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</si>
  <si>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</si>
  <si>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</si>
  <si>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</si>
  <si>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</si>
  <si>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</si>
  <si>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</si>
  <si>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</si>
  <si>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</si>
  <si>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</si>
  <si>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</si>
  <si>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</si>
  <si>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</si>
  <si>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</si>
  <si>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</si>
  <si>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</si>
  <si>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</si>
  <si>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</si>
  <si>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</si>
  <si>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</si>
  <si>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</si>
  <si>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</si>
  <si>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</si>
  <si>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</si>
  <si>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</si>
  <si>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</si>
  <si>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</si>
  <si>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</si>
  <si>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</si>
  <si>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</si>
  <si>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</si>
  <si>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</si>
  <si>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</si>
  <si>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</si>
  <si>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</si>
  <si>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</si>
  <si>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</si>
  <si>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</si>
  <si>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</si>
  <si>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</si>
  <si>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</si>
  <si>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</si>
  <si>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</si>
  <si>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</si>
  <si>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</si>
  <si>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</si>
  <si>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</si>
  <si>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</si>
  <si>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</si>
  <si>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</si>
  <si>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</si>
  <si>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</si>
  <si>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</si>
  <si>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</si>
  <si>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</si>
  <si>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</si>
  <si>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</si>
  <si>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</si>
  <si>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</si>
  <si>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</si>
  <si>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</si>
  <si>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</si>
  <si>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</si>
  <si>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</si>
  <si>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</si>
  <si>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</si>
  <si>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</si>
  <si>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</si>
  <si>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</si>
  <si>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</si>
  <si>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</si>
  <si>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</si>
  <si>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</si>
  <si>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</si>
  <si>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</si>
  <si>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</si>
  <si>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</si>
  <si>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</si>
  <si>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</si>
  <si>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</si>
  <si>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</si>
  <si>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</si>
  <si>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</si>
  <si>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</si>
  <si>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</si>
  <si>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</si>
  <si>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</si>
  <si>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</si>
  <si>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</si>
  <si>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</si>
  <si>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</si>
  <si>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</si>
  <si>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</si>
  <si>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</si>
  <si>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</si>
  <si>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</si>
  <si>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</si>
  <si>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</si>
  <si>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</si>
  <si>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</si>
  <si>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</si>
  <si>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</si>
  <si>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</si>
  <si>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</si>
  <si>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</si>
  <si>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</si>
  <si>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</si>
  <si>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</si>
  <si>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</si>
  <si>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</si>
  <si>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</si>
  <si>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</si>
  <si>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</si>
  <si>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</si>
  <si>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</si>
  <si>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</si>
  <si>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</si>
  <si>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</si>
  <si>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</si>
  <si>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</si>
  <si>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</si>
  <si>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</si>
  <si>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</si>
  <si>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</si>
  <si>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</si>
  <si>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</si>
  <si>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</si>
  <si>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</si>
  <si>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</si>
  <si>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</si>
  <si>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</si>
  <si>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</si>
  <si>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</si>
  <si>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</si>
  <si>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</si>
  <si>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</si>
  <si>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</si>
  <si>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</si>
  <si>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</si>
  <si>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</si>
  <si>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</si>
  <si>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</si>
  <si>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</si>
  <si>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</si>
  <si>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</si>
  <si>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</si>
  <si>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</si>
  <si>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</si>
  <si>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</si>
  <si>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</si>
  <si>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</si>
  <si>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</si>
  <si>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</si>
  <si>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</si>
  <si>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</si>
  <si>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</si>
  <si>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</si>
  <si>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</si>
  <si>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</si>
  <si>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</si>
  <si>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</si>
  <si>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</si>
  <si>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</si>
  <si>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</si>
  <si>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</si>
  <si>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</si>
  <si>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</si>
  <si>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</si>
  <si>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</si>
  <si>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</si>
  <si>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</si>
  <si>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</si>
  <si>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</si>
  <si>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</si>
  <si>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</si>
  <si>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</si>
  <si>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</si>
  <si>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</si>
  <si>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</si>
  <si>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</si>
  <si>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</si>
  <si>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</si>
  <si>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</si>
  <si>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</si>
  <si>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</si>
  <si>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</si>
  <si>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</si>
  <si>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</si>
  <si>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</si>
  <si>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</si>
  <si>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</si>
  <si>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</si>
  <si>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</si>
  <si>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</si>
  <si>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</si>
  <si>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</si>
  <si>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</si>
  <si>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</si>
  <si>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</si>
  <si>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</si>
  <si>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</si>
  <si>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</si>
  <si>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</si>
  <si>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</si>
  <si>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</si>
  <si>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</si>
  <si>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</si>
  <si>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</si>
  <si>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</si>
  <si>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</si>
  <si>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</si>
  <si>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</si>
  <si>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</si>
  <si>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</si>
  <si>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</si>
  <si>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</si>
  <si>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</si>
  <si>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</si>
  <si>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</si>
  <si>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</si>
  <si>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</si>
  <si>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</si>
  <si>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</si>
  <si>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</si>
  <si>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</si>
  <si>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</si>
  <si>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</si>
  <si>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</si>
  <si>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</si>
  <si>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</si>
  <si>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</si>
  <si>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</si>
  <si>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</si>
  <si>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</si>
  <si>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</si>
  <si>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</si>
  <si>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</si>
  <si>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</si>
  <si>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</si>
  <si>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</si>
  <si>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</si>
  <si>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</si>
  <si>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</si>
  <si>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</si>
  <si>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</si>
  <si>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</si>
  <si>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</si>
  <si>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</si>
  <si>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</si>
  <si>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</si>
  <si>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</si>
  <si>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</si>
  <si>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</si>
  <si>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</si>
  <si>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</si>
  <si>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</si>
  <si>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</si>
  <si>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Stylisches Alien</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</si>
  <si>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</si>
  <si>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</si>
  <si>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</si>
  <si>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</si>
  <si>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</si>
  <si>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</si>
  <si>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</si>
  <si>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</si>
  <si>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</si>
  <si>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</si>
  <si>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</si>
  <si>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</si>
  <si>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</si>
  <si>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</si>
  <si>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</si>
  <si>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</si>
  <si>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</si>
  <si>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</si>
  <si>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</si>
  <si>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</si>
  <si>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</si>
  <si>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</si>
  <si>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</si>
  <si>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</si>
  <si>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</si>
  <si>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</si>
  <si>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</si>
  <si>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</si>
  <si>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</si>
  <si>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</si>
  <si>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</si>
  <si>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</si>
  <si>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</si>
  <si>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</si>
  <si>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</si>
  <si>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</si>
  <si>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</si>
  <si>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</si>
  <si>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</si>
  <si>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</si>
  <si>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</si>
  <si>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</si>
  <si>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</si>
  <si>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</si>
  <si>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</si>
  <si>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</si>
  <si>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</si>
  <si>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</si>
  <si>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</si>
  <si>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</si>
  <si>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</si>
  <si>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</si>
  <si>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</si>
  <si>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</si>
  <si>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</si>
  <si>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</si>
  <si>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</si>
  <si>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</si>
  <si>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</si>
  <si>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</si>
  <si>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</si>
  <si>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</si>
  <si>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</si>
  <si>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</si>
  <si>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</si>
  <si>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</si>
  <si>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</si>
  <si>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</si>
  <si>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</si>
  <si>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</si>
  <si>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</si>
  <si>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</si>
  <si>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</si>
  <si>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</si>
  <si>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</si>
  <si>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</si>
  <si>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</si>
  <si>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</si>
  <si>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</si>
  <si>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</si>
  <si>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</si>
  <si>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</si>
  <si>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</si>
  <si>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</si>
  <si>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</si>
  <si>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</si>
  <si>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</si>
  <si>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</si>
  <si>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</si>
  <si>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</si>
  <si>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</si>
  <si>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</si>
  <si>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</si>
  <si>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</si>
  <si>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</si>
  <si>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</si>
  <si>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</si>
  <si>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</si>
  <si>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</si>
  <si>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</si>
  <si>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</si>
  <si>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</si>
  <si>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</si>
  <si>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</si>
  <si>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</si>
  <si>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</si>
  <si>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</si>
  <si>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</si>
  <si>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</si>
  <si>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</si>
  <si>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</si>
  <si>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</si>
  <si>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Deep Thought</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</si>
  <si>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</si>
  <si>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</si>
  <si>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</si>
  <si>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</si>
  <si>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</si>
  <si>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</si>
  <si>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</si>
  <si>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</si>
  <si>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</si>
  <si>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</si>
  <si>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</si>
  <si>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</si>
  <si>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</si>
  <si>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</si>
  <si>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</si>
  <si>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</si>
  <si>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</si>
  <si>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</si>
  <si>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</si>
  <si>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</si>
  <si>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</si>
  <si>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</si>
  <si>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</si>
  <si>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</si>
  <si>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</si>
  <si>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</si>
  <si>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</si>
  <si>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</si>
  <si>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</si>
  <si>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</si>
  <si>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</si>
  <si>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</si>
  <si>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</si>
  <si>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</si>
  <si>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</si>
  <si>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</si>
  <si>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Einmalige Erfolge z.B. über Shop?, z.B. Schalte alle Rätsel von Anfang an frei. Belohnung wäre neue Icons, Musik, andere Monster bei Jumper usw, die sonst anderweitig gekauft werden müssen</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</si>
  <si>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</si>
  <si>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</si>
  <si>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</si>
  <si>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</si>
  <si>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</si>
  <si>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</si>
  <si>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</si>
  <si>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</si>
  <si>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</si>
  <si>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r>
      <t xml:space="preserve">Combine </t>
    </r>
    <r>
      <rPr>
        <sz val="11"/>
        <color rgb="FFFF0000"/>
        <rFont val="Calibri"/>
        <family val="2"/>
      </rPr>
      <t>Alien-Cubes</t>
    </r>
    <r>
      <rPr>
        <sz val="11"/>
        <color rgb="FF000000"/>
        <rFont val="Calibri"/>
        <family val="2"/>
        <charset val="1"/>
      </rPr>
      <t>. Number=Patricks name in numbers. Progress xx/78</t>
    </r>
  </si>
  <si>
    <r>
      <t xml:space="preserve">Progress </t>
    </r>
    <r>
      <rPr>
        <sz val="11"/>
        <color rgb="FFFF0000"/>
        <rFont val="Calibri"/>
        <family val="2"/>
      </rPr>
      <t>Alien-Cube</t>
    </r>
    <r>
      <rPr>
        <sz val="11"/>
        <color rgb="FF000000"/>
        <rFont val="Calibri"/>
        <family val="2"/>
        <charset val="1"/>
      </rPr>
      <t>: xx/50</t>
    </r>
  </si>
  <si>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</si>
  <si>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</si>
  <si>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</si>
  <si>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</si>
  <si>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</si>
  <si>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</si>
  <si>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</si>
  <si>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</si>
  <si>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</si>
  <si>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</si>
  <si>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</si>
  <si>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</si>
  <si>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</si>
  <si>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</si>
  <si>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</si>
  <si>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</si>
  <si>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</si>
  <si>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</si>
  <si>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</si>
  <si>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</si>
  <si>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</si>
  <si>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</si>
  <si>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</si>
  <si>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</si>
  <si>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</si>
  <si>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</si>
  <si>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</si>
  <si>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</si>
  <si>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</si>
  <si>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</si>
  <si>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</si>
  <si>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</si>
  <si>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</si>
  <si>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</si>
  <si>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</si>
  <si>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</si>
  <si>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</si>
  <si>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</si>
  <si>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</si>
  <si>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</si>
  <si>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</si>
  <si>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</si>
  <si>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</si>
  <si>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</si>
  <si>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</si>
  <si>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</si>
  <si>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</si>
  <si>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</si>
  <si>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</si>
  <si>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</si>
  <si>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</si>
  <si>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</si>
  <si>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</si>
  <si>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</si>
  <si>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</si>
  <si>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</si>
  <si>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</si>
  <si>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</si>
  <si>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</si>
  <si>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</si>
  <si>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</si>
  <si>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</si>
  <si>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</si>
  <si>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</si>
  <si>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</si>
  <si>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</si>
  <si>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</si>
  <si>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</si>
  <si>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</si>
  <si>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</si>
  <si>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</si>
  <si>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</si>
  <si>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</si>
  <si>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</si>
  <si>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</si>
  <si>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</si>
  <si>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</si>
  <si>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</si>
  <si>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</si>
  <si>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</si>
  <si>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</si>
  <si>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</si>
  <si>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</si>
  <si>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</si>
  <si>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</si>
  <si>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</si>
  <si>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</si>
  <si>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</si>
  <si>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</si>
  <si>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</si>
  <si>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</si>
  <si>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</si>
  <si>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</si>
  <si>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</si>
  <si>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</si>
  <si>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</si>
  <si>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</si>
  <si>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</si>
  <si>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</si>
  <si>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</si>
  <si>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</si>
  <si>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</si>
  <si>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</si>
  <si>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</si>
  <si>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</si>
  <si>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</si>
  <si>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</si>
  <si>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</si>
  <si>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</si>
  <si>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</si>
  <si>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</si>
  <si>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</si>
  <si>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</si>
  <si>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</si>
  <si>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</si>
  <si>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</si>
  <si>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</si>
  <si>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</si>
  <si>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</si>
  <si>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</si>
  <si>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</si>
  <si>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</si>
  <si>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</si>
  <si>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</si>
  <si>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</si>
  <si>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</si>
  <si>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</si>
  <si>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</si>
  <si>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</si>
  <si>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</si>
  <si>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</si>
  <si>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</si>
  <si>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</si>
  <si>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</si>
  <si>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</si>
  <si>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</si>
  <si>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</si>
  <si>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</si>
  <si>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</si>
  <si>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</si>
  <si>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</si>
  <si>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</si>
  <si>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</si>
  <si>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</si>
  <si>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</si>
  <si>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</si>
  <si>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</si>
  <si>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</si>
  <si>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</si>
  <si>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</si>
  <si>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</si>
  <si>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</si>
  <si>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</si>
  <si>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</si>
  <si>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</si>
  <si>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</si>
  <si>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</si>
  <si>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</si>
  <si>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</si>
  <si>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</si>
  <si>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</si>
  <si>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</si>
  <si>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</si>
  <si>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</si>
  <si>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</si>
  <si>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</si>
  <si>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</si>
  <si>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</si>
  <si>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</si>
  <si>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</si>
  <si>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</si>
  <si>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</si>
  <si>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</si>
  <si>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</si>
  <si>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</si>
  <si>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</si>
  <si>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</si>
  <si>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</si>
  <si>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</si>
  <si>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</si>
  <si>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</si>
  <si>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</si>
  <si>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</si>
  <si>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</si>
  <si>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</si>
  <si>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</si>
  <si>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</si>
  <si>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</si>
  <si>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</si>
  <si>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</si>
  <si>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</si>
  <si>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</si>
  <si>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</si>
  <si>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</si>
  <si>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</si>
  <si>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</si>
  <si>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</si>
  <si>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</si>
  <si>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</si>
  <si>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</si>
  <si>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</si>
  <si>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</si>
  <si>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</si>
  <si>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</si>
  <si>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</si>
  <si>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</si>
  <si>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</si>
  <si>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</si>
  <si>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</si>
  <si>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</si>
  <si>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</si>
  <si>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</si>
  <si>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</si>
  <si>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</si>
  <si>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</si>
  <si>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</si>
  <si>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</si>
  <si>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</si>
  <si>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</si>
  <si>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</si>
  <si>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</si>
  <si>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</si>
  <si>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</si>
  <si>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</si>
  <si>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</si>
  <si>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</si>
  <si>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</si>
  <si>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</si>
  <si>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</si>
  <si>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</si>
  <si>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</si>
  <si>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</si>
  <si>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</si>
  <si>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</si>
  <si>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</si>
  <si>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</si>
  <si>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</si>
  <si>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</si>
  <si>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</si>
  <si>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</si>
  <si>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</si>
  <si>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</si>
  <si>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</si>
  <si>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</si>
  <si>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</si>
  <si>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</si>
  <si>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</si>
  <si>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</si>
  <si>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</si>
  <si>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</si>
  <si>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</si>
  <si>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</si>
  <si>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</si>
  <si>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</si>
  <si>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</si>
  <si>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</si>
  <si>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</si>
  <si>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</si>
  <si>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</si>
  <si>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</si>
  <si>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</si>
  <si>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</si>
  <si>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</si>
  <si>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</si>
  <si>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</si>
  <si>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</si>
  <si>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</si>
  <si>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</si>
  <si>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</si>
  <si>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</si>
  <si>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</si>
  <si>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</si>
  <si>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</si>
  <si>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</si>
  <si>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</si>
  <si>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</si>
  <si>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</si>
  <si>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</si>
  <si>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</si>
  <si>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</si>
  <si>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</si>
  <si>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</si>
  <si>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</si>
  <si>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</si>
  <si>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</si>
  <si>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</si>
  <si>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</si>
  <si>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</si>
  <si>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</si>
  <si>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</si>
  <si>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</si>
  <si>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</si>
  <si>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</si>
  <si>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</si>
  <si>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</si>
  <si>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</si>
  <si>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</si>
  <si>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</si>
  <si>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</si>
  <si>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</si>
  <si>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</si>
  <si>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</si>
  <si>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</si>
  <si>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</si>
  <si>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</si>
  <si>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</si>
  <si>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</si>
  <si>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</si>
  <si>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</si>
  <si>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</si>
  <si>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</si>
  <si>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</si>
  <si>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</si>
  <si>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</si>
  <si>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</si>
  <si>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</si>
  <si>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</si>
  <si>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</si>
  <si>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</si>
  <si>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</si>
  <si>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</si>
  <si>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</si>
  <si>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</si>
  <si>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</si>
  <si>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</si>
  <si>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</si>
  <si>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</si>
  <si>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</si>
  <si>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</si>
  <si>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</si>
  <si>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</si>
  <si>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</si>
  <si>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</si>
  <si>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</si>
  <si>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</si>
  <si>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</si>
  <si>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</si>
  <si>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</si>
  <si>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</si>
  <si>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</si>
  <si>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</si>
  <si>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</si>
  <si>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</si>
  <si>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</si>
  <si>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</si>
  <si>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</si>
  <si>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</si>
  <si>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</si>
  <si>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</si>
  <si>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</si>
  <si>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</si>
  <si>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</si>
  <si>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</si>
  <si>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</si>
  <si>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</si>
  <si>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</si>
  <si>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</si>
  <si>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</si>
  <si>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</si>
  <si>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</si>
  <si>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</si>
  <si>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</si>
  <si>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</si>
  <si>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</si>
  <si>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</si>
  <si>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</si>
  <si>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</si>
  <si>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</si>
  <si>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</si>
  <si>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</si>
  <si>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</si>
  <si>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</si>
  <si>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</si>
  <si>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</si>
  <si>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</si>
  <si>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</si>
  <si>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</si>
  <si>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</si>
  <si>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</si>
  <si>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</si>
  <si>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</si>
  <si>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</si>
  <si>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</si>
  <si>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</si>
  <si>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</si>
  <si>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</si>
  <si>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</si>
  <si>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</si>
  <si>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</si>
  <si>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</si>
  <si>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</si>
  <si>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</si>
  <si>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</si>
  <si>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</si>
  <si>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</si>
  <si>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</si>
  <si>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</si>
  <si>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</si>
  <si>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</si>
  <si>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</si>
  <si>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</si>
  <si>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</si>
  <si>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</si>
  <si>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</si>
  <si>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</si>
  <si>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</si>
  <si>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</si>
  <si>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</si>
  <si>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</si>
  <si>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</si>
  <si>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</si>
  <si>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</si>
  <si>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</si>
  <si>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</si>
  <si>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</si>
  <si>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</si>
  <si>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</si>
  <si>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</si>
  <si>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</si>
  <si>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</si>
  <si>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</si>
  <si>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</si>
  <si>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</si>
  <si>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</si>
  <si>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</si>
  <si>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</si>
  <si>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</si>
  <si>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</si>
  <si>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</si>
  <si>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</si>
  <si>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</si>
  <si>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</si>
  <si>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</si>
  <si>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</si>
  <si>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</si>
  <si>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</si>
  <si>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</si>
  <si>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</si>
  <si>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</si>
  <si>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</si>
  <si>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</si>
  <si>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</si>
  <si>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</si>
  <si>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</si>
  <si>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</si>
  <si>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</si>
  <si>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</si>
  <si>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</si>
  <si>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</si>
  <si>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</si>
  <si>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</si>
  <si>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</si>
  <si>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</si>
  <si>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</si>
  <si>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</si>
  <si>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</si>
  <si>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</si>
  <si>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</si>
  <si>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</si>
  <si>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</si>
  <si>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</si>
  <si>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</si>
  <si>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</si>
  <si>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</si>
  <si>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</si>
  <si>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</si>
  <si>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</si>
  <si>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</si>
  <si>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</si>
  <si>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</si>
  <si>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</si>
  <si>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</si>
  <si>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</si>
  <si>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</si>
  <si>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</si>
  <si>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</si>
  <si>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</si>
  <si>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</si>
  <si>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</si>
  <si>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</si>
  <si>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</si>
  <si>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</si>
  <si>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</si>
  <si>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</si>
  <si>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</si>
  <si>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</si>
  <si>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</si>
  <si>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</si>
  <si>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</si>
  <si>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</si>
  <si>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</si>
  <si>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</si>
  <si>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</si>
  <si>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</si>
  <si>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</si>
  <si>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</si>
  <si>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</si>
  <si>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</si>
  <si>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</si>
  <si>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</si>
  <si>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</si>
  <si>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</si>
  <si>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</si>
  <si>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</si>
  <si>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</si>
  <si>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</si>
  <si>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</si>
  <si>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</si>
  <si>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</si>
  <si>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</si>
  <si>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</si>
  <si>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</si>
  <si>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</si>
  <si>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</si>
  <si>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</si>
  <si>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</si>
  <si>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</si>
  <si>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</si>
  <si>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</si>
  <si>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</si>
  <si>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</si>
  <si>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</si>
  <si>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</si>
  <si>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</si>
  <si>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</si>
  <si>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</si>
  <si>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</si>
  <si>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</si>
  <si>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</si>
  <si>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</si>
  <si>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</si>
  <si>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</si>
  <si>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</si>
  <si>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</si>
  <si>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</si>
  <si>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</si>
  <si>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</si>
  <si>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</si>
  <si>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</si>
  <si>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</si>
  <si>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</si>
  <si>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</si>
  <si>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</si>
  <si>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</si>
  <si>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</si>
  <si>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</si>
  <si>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</si>
  <si>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</si>
  <si>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</si>
  <si>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</si>
  <si>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</si>
  <si>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</si>
  <si>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</si>
  <si>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</si>
  <si>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</si>
  <si>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</si>
  <si>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</si>
  <si>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</si>
  <si>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</si>
  <si>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</si>
  <si>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</si>
  <si>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</si>
  <si>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</si>
  <si>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</si>
  <si>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</si>
  <si>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</si>
  <si>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</si>
  <si>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</si>
  <si>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</si>
  <si>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</si>
  <si>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</si>
  <si>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</si>
  <si>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</si>
  <si>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</si>
  <si>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</si>
  <si>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</si>
  <si>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</si>
  <si>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</si>
  <si>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</si>
  <si>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</si>
  <si>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</si>
  <si>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</si>
  <si>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</si>
  <si>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</si>
  <si>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</si>
  <si>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</si>
  <si>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</si>
  <si>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</si>
  <si>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</si>
  <si>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</si>
  <si>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</si>
  <si>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</si>
  <si>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</si>
  <si>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</si>
  <si>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</si>
  <si>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</si>
  <si>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</si>
  <si>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</si>
  <si>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</si>
  <si>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</si>
  <si>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</si>
  <si>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</si>
  <si>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</si>
  <si>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</si>
  <si>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</si>
  <si>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</si>
  <si>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</si>
  <si>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</si>
  <si>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</si>
  <si>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</si>
  <si>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</si>
  <si>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</si>
  <si>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</si>
  <si>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</si>
  <si>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</si>
  <si>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</si>
  <si>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</si>
  <si>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</si>
  <si>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</si>
  <si>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</si>
  <si>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</si>
  <si>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</si>
  <si>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</si>
  <si>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</si>
  <si>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</si>
  <si>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</si>
  <si>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</si>
  <si>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</si>
  <si>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</si>
  <si>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</si>
  <si>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</si>
  <si>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</si>
  <si>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</si>
  <si>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</si>
  <si>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</si>
  <si>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</si>
  <si>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</si>
  <si>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</si>
  <si>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</si>
  <si>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</si>
  <si>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</si>
  <si>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</si>
  <si>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</si>
  <si>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</si>
  <si>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</si>
  <si>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</si>
  <si>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</si>
  <si>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</si>
  <si>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</si>
  <si>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</si>
  <si>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</si>
  <si>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</si>
  <si>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</si>
  <si>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</si>
  <si>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</si>
  <si>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</si>
  <si>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</si>
  <si>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</si>
  <si>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</si>
  <si>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</si>
  <si>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</si>
  <si>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</si>
  <si>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</si>
  <si>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</si>
  <si>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</si>
  <si>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</si>
  <si>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</si>
  <si>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</si>
  <si>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</si>
  <si>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</si>
  <si>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</si>
  <si>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</si>
  <si>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</si>
  <si>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</si>
  <si>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</si>
  <si>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</si>
  <si>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</si>
  <si>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</si>
  <si>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</si>
  <si>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</si>
  <si>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</si>
  <si>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</si>
  <si>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</si>
  <si>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</si>
  <si>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</si>
  <si>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</si>
  <si>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</si>
  <si>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</si>
  <si>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</si>
  <si>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</si>
  <si>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</si>
  <si>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</si>
  <si>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</si>
  <si>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</si>
  <si>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</si>
  <si>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</si>
  <si>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</si>
  <si>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</si>
  <si>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</si>
  <si>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</si>
  <si>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</si>
  <si>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</si>
  <si>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</si>
  <si>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</si>
  <si>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</si>
  <si>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</si>
  <si>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</si>
  <si>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</si>
  <si>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</si>
  <si>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</si>
  <si>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</si>
  <si>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</si>
  <si>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</si>
  <si>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</si>
  <si>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</si>
  <si>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</si>
  <si>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</si>
  <si>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</si>
  <si>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</si>
  <si>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</si>
  <si>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</si>
  <si>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</si>
  <si>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</si>
  <si>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</si>
  <si>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</si>
  <si>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</si>
  <si>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</si>
  <si>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</si>
  <si>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</si>
  <si>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</si>
  <si>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</si>
  <si>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</si>
  <si>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</si>
  <si>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</si>
  <si>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</si>
  <si>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</si>
  <si>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</si>
  <si>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</si>
  <si>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</si>
  <si>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</si>
  <si>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</si>
  <si>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</si>
  <si>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</si>
  <si>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</si>
  <si>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</si>
  <si>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</si>
  <si>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</si>
  <si>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</si>
  <si>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</si>
  <si>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</si>
  <si>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</si>
  <si>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</si>
  <si>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</si>
  <si>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</si>
  <si>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</si>
  <si>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</si>
  <si>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</si>
  <si>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</si>
  <si>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</si>
  <si>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</si>
  <si>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</si>
  <si>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</si>
  <si>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</si>
  <si>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</si>
  <si>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</si>
  <si>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</si>
  <si>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</si>
  <si>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</si>
  <si>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</si>
  <si>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</si>
  <si>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</si>
  <si>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</si>
  <si>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</si>
  <si>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</si>
  <si>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</si>
  <si>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</si>
  <si>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</si>
  <si>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</si>
  <si>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</si>
  <si>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</si>
  <si>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</si>
  <si>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</si>
  <si>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</si>
  <si>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</si>
  <si>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</si>
  <si>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</si>
  <si>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</si>
  <si>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</si>
  <si>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</si>
  <si>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</si>
  <si>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</si>
  <si>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</si>
  <si>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</si>
  <si>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</si>
  <si>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</si>
  <si>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</si>
  <si>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</si>
  <si>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</si>
  <si>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</si>
  <si>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</si>
  <si>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</si>
  <si>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</si>
  <si>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</si>
  <si>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</si>
  <si>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</si>
  <si>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</si>
  <si>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</si>
  <si>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</si>
  <si>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</si>
  <si>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</si>
  <si>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</si>
  <si>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</si>
  <si>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</si>
  <si>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</si>
  <si>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</si>
  <si>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</si>
  <si>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</si>
  <si>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</si>
  <si>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</si>
  <si>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</si>
  <si>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</si>
  <si>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</si>
  <si>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</si>
  <si>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</si>
  <si>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</si>
  <si>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</si>
  <si>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</si>
  <si>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</si>
  <si>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</si>
  <si>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</si>
  <si>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</si>
  <si>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</si>
  <si>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</si>
  <si>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</si>
  <si>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</si>
  <si>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</si>
  <si>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</si>
  <si>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</si>
  <si>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</si>
  <si>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</si>
  <si>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</si>
  <si>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</si>
  <si>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</si>
  <si>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</si>
  <si>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</si>
  <si>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</si>
  <si>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</si>
  <si>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</si>
  <si>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</si>
  <si>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</si>
  <si>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</si>
  <si>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</si>
  <si>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</si>
  <si>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</si>
  <si>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</si>
  <si>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</si>
  <si>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</si>
  <si>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</si>
  <si>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</si>
  <si>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</si>
  <si>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</si>
  <si>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</si>
  <si>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</si>
  <si>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</si>
  <si>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</si>
  <si>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</si>
  <si>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</si>
  <si>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</si>
  <si>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</si>
  <si>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</si>
  <si>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</si>
  <si>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</si>
  <si>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</si>
  <si>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</si>
  <si>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</si>
  <si>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</si>
  <si>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</si>
  <si>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</si>
  <si>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</si>
  <si>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</si>
  <si>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</si>
  <si>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</si>
  <si>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</si>
  <si>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</si>
  <si>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</si>
  <si>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</si>
  <si>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</si>
  <si>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</si>
  <si>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</si>
  <si>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</si>
  <si>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</si>
  <si>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</si>
  <si>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</si>
  <si>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</si>
  <si>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</si>
  <si>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</si>
  <si>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</si>
  <si>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</si>
  <si>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</si>
  <si>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</si>
  <si>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</si>
  <si>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</si>
  <si>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</si>
  <si>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</si>
  <si>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</si>
  <si>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</si>
  <si>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</si>
  <si>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</si>
  <si>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</si>
  <si>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</si>
  <si>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</si>
  <si>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</si>
  <si>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</si>
  <si>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</si>
  <si>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</si>
  <si>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</si>
  <si>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</si>
  <si>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</si>
  <si>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efer&lt;/resname&gt;&lt;solutions&gt;&lt;solution&gt;&lt;tongue&gt;de&lt;/tongue&gt;&lt;word&gt;Marienkäfer&lt;/word&gt;&lt;/solution&gt;&lt;solution&gt;&lt;tongue&gt;en&lt;/tongue&gt;&lt;word&gt;ladybeetle&lt;/word&gt;&lt;word&gt;ladybird&lt;/word&gt;&lt;/solution&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</si>
  <si>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</si>
  <si>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mathe&lt;/resname&gt;&lt;solutions&gt;&lt;solution&gt;&lt;tongue&gt;de&lt;/tongue&gt;&lt;word&gt;Mathematik&lt;/word&gt;&lt;/solution&gt;&lt;solution&gt;&lt;tongue&gt;en&lt;/tongue&gt;&lt;word&gt;maths&lt;/word&gt;&lt;/solution&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</si>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</sst>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cellStyleXfs>
  <cellXfs count="112">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13" fillId="5" borderId="0" xfId="0"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20" fillId="10" borderId="10" xfId="0" applyFont="1" applyFill="1" applyBorder="1" applyAlignment="1">
      <alignment horizontal="center" vertical="center" textRotation="90"/>
    </xf>
    <xf numFmtId="0" fontId="11" fillId="0" borderId="10" xfId="0" applyFont="1" applyBorder="1" applyAlignment="1">
      <alignment horizontal="center" vertical="center" wrapText="1"/>
    </xf>
    <xf numFmtId="0" fontId="11" fillId="10" borderId="10" xfId="0" applyFont="1" applyFill="1" applyBorder="1" applyAlignment="1">
      <alignment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0" fillId="8" borderId="6"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9">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8"/>
      <tableStyleElement type="secondRowStripe" dxfId="37"/>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1FD51F"/>
      <color rgb="FF8E00EE"/>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5"/>
    <tableColumn id="3" name="Bildtitel" dataDxfId="24">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3"/>
    <tableColumn id="5" name="Quelle" dataDxfId="22" dataCellStyle="Link"/>
    <tableColumn id="6" name="Titel/Modi" dataDxfId="21"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4"/>
    <tableColumn id="3" name="ggf. Bildtitel" dataDxfId="13">
      <calculatedColumnFormula>Tabelle14[[#This Row],[Dateiname]]</calculatedColumnFormula>
    </tableColumn>
    <tableColumn id="4" name="Lizenzname" dataDxfId="12"/>
    <tableColumn id="5" name="Quelle" dataDxfId="11" dataCellStyle="Link"/>
    <tableColumn id="6" name="TitelModi" dataDxfId="10"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5">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0">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k%C3%A4fer-insekt-keim-virus-viren-268542/"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raumschiff-au%C3%9Ferirdischer-untertasse-309153/" TargetMode="External"/><Relationship Id="rId34" Type="http://schemas.openxmlformats.org/officeDocument/2006/relationships/hyperlink" Target="https://pixabay.com/de/k%C3%A4fer-insekt-keim-virus-viren-268541/"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au%C3%9Ferirdischer-extraterrestrische-160299/" TargetMode="External"/><Relationship Id="rId33" Type="http://schemas.openxmlformats.org/officeDocument/2006/relationships/hyperlink" Target="https://pixabay.com/de/gesicht-monster-niedlich-kopf-34122/" TargetMode="External"/><Relationship Id="rId38" Type="http://schemas.openxmlformats.org/officeDocument/2006/relationships/hyperlink" Target="https://pixabay.com/de/schatz-schatzkiste-gold-brust-16000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entf%C3%BChrung-fliegende-untertasse-ufo-155651/" TargetMode="External"/><Relationship Id="rId29" Type="http://schemas.openxmlformats.org/officeDocument/2006/relationships/hyperlink" Target="http://pixabay.com/de/ausl%C3%A4nder-warnung-stra%C3%9Fe-vorsicht-28981/"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leistung-%C3%BCber-vorteil-abenteuer-703442/" TargetMode="External"/><Relationship Id="rId32" Type="http://schemas.openxmlformats.org/officeDocument/2006/relationships/hyperlink" Target="https://c3.staticflickr.com/3/2334/2484265629_fd764217de.jpg" TargetMode="External"/><Relationship Id="rId37" Type="http://schemas.openxmlformats.org/officeDocument/2006/relationships/hyperlink" Target="https://pixabay.com/de/kette-links-verbindung-metall-309566/"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fl%C3%BCgel-flucht-engel-geistige-311666/" TargetMode="External"/><Relationship Id="rId28" Type="http://schemas.openxmlformats.org/officeDocument/2006/relationships/hyperlink" Target="http://pixabay.com/de/monster-kreatur-gruselig-charakter-312266/" TargetMode="External"/><Relationship Id="rId36" Type="http://schemas.openxmlformats.org/officeDocument/2006/relationships/hyperlink" Target="https://pixabay.com/de/au%C3%9Ferirdischer-cool-gr%C3%BCn-smiley-303314/"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hand-recht-point-nach-oben-finger-309924/" TargetMode="External"/><Relationship Id="rId31" Type="http://schemas.openxmlformats.org/officeDocument/2006/relationships/hyperlink" Target="https://pixabay.com/de/pacman-pac-man-spiel-computerspiel-145844/"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monster-d%C3%A4mon-teufel-b%C3%B6se-cartoon-304958/" TargetMode="External"/><Relationship Id="rId27" Type="http://schemas.openxmlformats.org/officeDocument/2006/relationships/hyperlink" Target="http://pixabay.com/de/monster-br%C3%BCllen-scharf-z%C3%A4hne-lila-312273/" TargetMode="External"/><Relationship Id="rId30" Type="http://schemas.openxmlformats.org/officeDocument/2006/relationships/hyperlink" Target="http://pixabay.com/de/au%C3%9Ferirdischer-charakter-cartoon-307652/" TargetMode="External"/><Relationship Id="rId35" Type="http://schemas.openxmlformats.org/officeDocument/2006/relationships/hyperlink" Target="https://pixabay.com/de/stern-rosa-design-49452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09" activePane="bottomLeft" state="frozen"/>
      <selection pane="bottomLeft" activeCell="F227" sqref="F227"/>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1564</v>
      </c>
      <c r="C1" t="s">
        <v>2</v>
      </c>
      <c r="D1" t="s">
        <v>117</v>
      </c>
      <c r="E1" t="s">
        <v>1906</v>
      </c>
      <c r="F1" t="s">
        <v>249</v>
      </c>
      <c r="G1" t="s">
        <v>1218</v>
      </c>
      <c r="H1" t="s">
        <v>2128</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1565</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1556</v>
      </c>
      <c r="W30" t="s">
        <v>1557</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1550</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1553</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1551</v>
      </c>
      <c r="X33" s="16" t="s">
        <v>1554</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1551</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1552</v>
      </c>
      <c r="X35" s="16" t="s">
        <v>1555</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1552</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1552</v>
      </c>
      <c r="X37" s="16" t="s">
        <v>1555</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1552</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1553</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1566</v>
      </c>
      <c r="G40" t="s">
        <v>624</v>
      </c>
      <c r="I40" t="s">
        <v>624</v>
      </c>
      <c r="V40" t="s">
        <v>1553</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1551</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1551</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1552</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1552</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1553</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1550</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1907</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1994</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1908</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9">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9">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9">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9">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9">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1578</v>
      </c>
      <c r="H101" t="s">
        <v>1579</v>
      </c>
      <c r="I101" t="s">
        <v>403</v>
      </c>
    </row>
    <row r="102" spans="1:9">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9">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1909</v>
      </c>
      <c r="F103" t="s">
        <v>239</v>
      </c>
      <c r="G103" t="s">
        <v>240</v>
      </c>
      <c r="I103" t="s">
        <v>315</v>
      </c>
    </row>
    <row r="104" spans="1:9">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9">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2820</v>
      </c>
      <c r="G105" t="s">
        <v>2821</v>
      </c>
      <c r="I105" t="s">
        <v>569</v>
      </c>
    </row>
    <row r="106" spans="1:9">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9">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9">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row>
    <row r="109" spans="1:9">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9">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9">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9">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1577</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1831</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1567</v>
      </c>
      <c r="G122" t="s">
        <v>1580</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1910</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1911</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1832</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1568</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1569</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1742</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1570</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1912</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1571</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1572</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1573</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1583</v>
      </c>
      <c r="G227" t="s">
        <v>1581</v>
      </c>
      <c r="H227" t="s">
        <v>1582</v>
      </c>
      <c r="I227" t="s">
        <v>1214</v>
      </c>
      <c r="L227" t="s">
        <v>1575</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1913</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2515</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2819</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1914</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1574</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6" priority="16" operator="containsText" text="ß">
      <formula>NOT(ISERROR(SEARCH("ß",F1)))</formula>
    </cfRule>
  </conditionalFormatting>
  <conditionalFormatting sqref="L7 E73:E284">
    <cfRule type="cellIs" dxfId="35" priority="13" operator="equal">
      <formula>"NEU"</formula>
    </cfRule>
  </conditionalFormatting>
  <conditionalFormatting sqref="L19:L20">
    <cfRule type="cellIs" dxfId="34" priority="12" operator="equal">
      <formula>"NEU"</formula>
    </cfRule>
  </conditionalFormatting>
  <conditionalFormatting sqref="L18">
    <cfRule type="cellIs" dxfId="33" priority="9" operator="equal">
      <formula>"NEU"</formula>
    </cfRule>
  </conditionalFormatting>
  <conditionalFormatting sqref="I254:I278 I228:I252">
    <cfRule type="duplicateValues" dxfId="32" priority="6"/>
  </conditionalFormatting>
  <conditionalFormatting sqref="G227">
    <cfRule type="duplicateValues" dxfId="31" priority="5"/>
  </conditionalFormatting>
  <conditionalFormatting sqref="E1:E6 E9:E71 E285:E1048576">
    <cfRule type="cellIs" dxfId="30" priority="4" operator="equal">
      <formula>"NEU"</formula>
    </cfRule>
  </conditionalFormatting>
  <conditionalFormatting sqref="H253">
    <cfRule type="containsText" dxfId="29" priority="3" operator="containsText" text="ß">
      <formula>NOT(ISERROR(SEARCH("ß",H253)))</formula>
    </cfRule>
  </conditionalFormatting>
  <conditionalFormatting sqref="H227">
    <cfRule type="duplicateValues" dxfId="28" priority="2"/>
  </conditionalFormatting>
  <conditionalFormatting sqref="L26">
    <cfRule type="cellIs" dxfId="27" priority="1" operator="equal">
      <formula>"NEU"</formula>
    </cfRule>
  </conditionalFormatting>
  <conditionalFormatting sqref="I1:I279 J279:J1048576">
    <cfRule type="duplicateValues" dxfId="26"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1958</v>
      </c>
      <c r="F1" t="s">
        <v>249</v>
      </c>
      <c r="G1" t="s">
        <v>1218</v>
      </c>
      <c r="H1" t="s">
        <v>2129</v>
      </c>
      <c r="I1" t="s">
        <v>3</v>
      </c>
      <c r="J1" t="s">
        <v>306</v>
      </c>
      <c r="K1" t="s">
        <v>757</v>
      </c>
      <c r="L1" t="s">
        <v>709</v>
      </c>
    </row>
    <row r="2" spans="1:15" ht="15" customHeight="1">
      <c r="A2" s="6" t="s">
        <v>1811</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1989</v>
      </c>
      <c r="E2" s="30"/>
      <c r="F2" t="s">
        <v>1990</v>
      </c>
      <c r="G2" t="s">
        <v>1992</v>
      </c>
      <c r="I2" t="s">
        <v>1991</v>
      </c>
    </row>
    <row r="3" spans="1:15">
      <c r="A3" s="6" t="s">
        <v>1621</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1950</v>
      </c>
      <c r="E3" s="30"/>
      <c r="F3" t="s">
        <v>1951</v>
      </c>
      <c r="G3" t="s">
        <v>1952</v>
      </c>
      <c r="I3" t="s">
        <v>1952</v>
      </c>
    </row>
    <row r="4" spans="1:15">
      <c r="A4" s="6" t="s">
        <v>1698</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1704</v>
      </c>
      <c r="E4" s="26"/>
      <c r="F4" t="s">
        <v>1705</v>
      </c>
      <c r="G4" t="s">
        <v>1707</v>
      </c>
      <c r="I4" t="s">
        <v>1706</v>
      </c>
    </row>
    <row r="5" spans="1:15">
      <c r="A5" s="6" t="s">
        <v>1811</v>
      </c>
      <c r="B5" s="7" t="str">
        <f>Tabelle14[[#This Row],[Dateiname]]</f>
        <v>basketball</v>
      </c>
      <c r="C5" s="2" t="s">
        <v>4</v>
      </c>
      <c r="D5" s="9" t="s">
        <v>2021</v>
      </c>
      <c r="E5" s="30"/>
      <c r="F5" t="s">
        <v>2022</v>
      </c>
      <c r="G5" t="s">
        <v>2023</v>
      </c>
      <c r="I5" t="s">
        <v>2023</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1938</v>
      </c>
      <c r="E6" s="30"/>
      <c r="F6" t="s">
        <v>1939</v>
      </c>
      <c r="G6" t="s">
        <v>1940</v>
      </c>
      <c r="I6" t="s">
        <v>1941</v>
      </c>
    </row>
    <row r="7" spans="1:15">
      <c r="A7" s="6" t="s">
        <v>1585</v>
      </c>
      <c r="B7" s="7" t="str">
        <f>Tabelle14[[#This Row],[Dateiname]]</f>
        <v>biber</v>
      </c>
      <c r="C7" s="2" t="s">
        <v>4</v>
      </c>
      <c r="D7" s="9" t="s">
        <v>2037</v>
      </c>
      <c r="E7" s="30"/>
      <c r="F7" t="s">
        <v>2039</v>
      </c>
      <c r="G7" t="s">
        <v>2038</v>
      </c>
      <c r="I7" t="s">
        <v>2040</v>
      </c>
    </row>
    <row r="8" spans="1:15">
      <c r="A8" s="6" t="s">
        <v>1585</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1895</v>
      </c>
      <c r="E8" s="30"/>
      <c r="F8" t="s">
        <v>1896</v>
      </c>
      <c r="G8" t="s">
        <v>1897</v>
      </c>
      <c r="I8" t="s">
        <v>1898</v>
      </c>
    </row>
    <row r="9" spans="1:15">
      <c r="A9" s="6" t="s">
        <v>1585</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1605</v>
      </c>
      <c r="E9" s="30"/>
      <c r="F9" t="s">
        <v>1606</v>
      </c>
      <c r="G9" t="s">
        <v>1607</v>
      </c>
      <c r="I9" t="s">
        <v>1608</v>
      </c>
    </row>
    <row r="10" spans="1:15">
      <c r="A10" s="6" t="s">
        <v>1585</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1656</v>
      </c>
      <c r="E10" s="30"/>
      <c r="F10" t="s">
        <v>1657</v>
      </c>
      <c r="G10" t="s">
        <v>1658</v>
      </c>
      <c r="I10" t="s">
        <v>1659</v>
      </c>
      <c r="O10" s="25" t="s">
        <v>1665</v>
      </c>
    </row>
    <row r="11" spans="1:15">
      <c r="A11" s="6" t="s">
        <v>2016</v>
      </c>
      <c r="B11" s="7" t="str">
        <f>Tabelle14[[#This Row],[Dateiname]]</f>
        <v>bungee</v>
      </c>
      <c r="C11" s="2" t="s">
        <v>4</v>
      </c>
      <c r="D11" s="9" t="s">
        <v>2017</v>
      </c>
      <c r="E11" s="30"/>
      <c r="F11" t="s">
        <v>2018</v>
      </c>
      <c r="G11" t="s">
        <v>2019</v>
      </c>
      <c r="I11" t="s">
        <v>2019</v>
      </c>
    </row>
    <row r="12" spans="1:15">
      <c r="A12" s="6" t="s">
        <v>1585</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1883</v>
      </c>
      <c r="E12" s="30"/>
      <c r="F12" t="s">
        <v>1884</v>
      </c>
      <c r="G12" t="s">
        <v>1888</v>
      </c>
      <c r="I12" t="s">
        <v>1885</v>
      </c>
      <c r="O12" t="s">
        <v>1172</v>
      </c>
    </row>
    <row r="13" spans="1:15">
      <c r="A13" s="6" t="s">
        <v>1585</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1866</v>
      </c>
      <c r="E13" s="30"/>
      <c r="F13" t="s">
        <v>1869</v>
      </c>
      <c r="G13" t="s">
        <v>1867</v>
      </c>
      <c r="I13" t="s">
        <v>1868</v>
      </c>
      <c r="O13" t="s">
        <v>1632</v>
      </c>
    </row>
    <row r="14" spans="1:15">
      <c r="A14" s="6" t="s">
        <v>48</v>
      </c>
      <c r="B14" s="7" t="str">
        <f>Tabelle14[[#This Row],[Dateiname]]</f>
        <v>diskette</v>
      </c>
      <c r="C14" s="2" t="s">
        <v>4</v>
      </c>
      <c r="D14" s="9" t="s">
        <v>2045</v>
      </c>
      <c r="E14" s="30"/>
      <c r="F14" t="s">
        <v>2046</v>
      </c>
      <c r="G14" t="s">
        <v>2047</v>
      </c>
      <c r="I14" t="s">
        <v>2048</v>
      </c>
    </row>
    <row r="15" spans="1:15">
      <c r="A15" s="6" t="s">
        <v>1585</v>
      </c>
      <c r="B15" s="7" t="str">
        <f>Tabelle14[[#This Row],[Dateiname]]</f>
        <v>drucker</v>
      </c>
      <c r="C15" s="2" t="s">
        <v>4</v>
      </c>
      <c r="D15" s="9" t="s">
        <v>2080</v>
      </c>
      <c r="E15" s="30"/>
      <c r="F15" t="s">
        <v>2081</v>
      </c>
      <c r="G15" t="s">
        <v>2083</v>
      </c>
      <c r="I15" t="s">
        <v>2082</v>
      </c>
    </row>
    <row r="16" spans="1:15">
      <c r="A16" s="6" t="s">
        <v>1933</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1934</v>
      </c>
      <c r="E16" s="30"/>
      <c r="F16" t="s">
        <v>1935</v>
      </c>
      <c r="G16" t="s">
        <v>1936</v>
      </c>
      <c r="I16" t="s">
        <v>1937</v>
      </c>
    </row>
    <row r="17" spans="1:9">
      <c r="A17" s="6" t="s">
        <v>1585</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1597</v>
      </c>
      <c r="E17" s="30"/>
      <c r="F17" t="s">
        <v>1598</v>
      </c>
      <c r="G17" t="s">
        <v>1599</v>
      </c>
      <c r="I17" t="s">
        <v>1600</v>
      </c>
    </row>
    <row r="18" spans="1:9">
      <c r="A18" s="6" t="s">
        <v>1959</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1960</v>
      </c>
      <c r="E18" s="30" t="s">
        <v>1961</v>
      </c>
      <c r="F18" t="s">
        <v>1969</v>
      </c>
      <c r="G18" t="s">
        <v>1967</v>
      </c>
      <c r="I18" t="s">
        <v>1965</v>
      </c>
    </row>
    <row r="19" spans="1:9">
      <c r="A19" s="6" t="s">
        <v>1175</v>
      </c>
      <c r="B19" s="7" t="str">
        <f>Tabelle14[[#This Row],[Dateiname]]</f>
        <v>eiszapfen</v>
      </c>
      <c r="C19" s="2" t="s">
        <v>4</v>
      </c>
      <c r="D19" s="9" t="s">
        <v>2063</v>
      </c>
      <c r="E19" s="30"/>
      <c r="F19" t="s">
        <v>2064</v>
      </c>
      <c r="G19" t="s">
        <v>2065</v>
      </c>
      <c r="I19" t="s">
        <v>2066</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1743</v>
      </c>
      <c r="I20" t="s">
        <v>1744</v>
      </c>
    </row>
    <row r="21" spans="1:9">
      <c r="A21" s="6" t="s">
        <v>1698</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1739</v>
      </c>
      <c r="E21" s="30"/>
      <c r="F21" t="s">
        <v>1740</v>
      </c>
      <c r="G21" t="s">
        <v>1741</v>
      </c>
      <c r="I21" t="s">
        <v>1741</v>
      </c>
    </row>
    <row r="22" spans="1:9">
      <c r="A22" s="6" t="s">
        <v>1585</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1670</v>
      </c>
      <c r="E22" s="30"/>
      <c r="F22" t="s">
        <v>1671</v>
      </c>
      <c r="G22" t="s">
        <v>1673</v>
      </c>
      <c r="I22" t="s">
        <v>1672</v>
      </c>
    </row>
    <row r="23" spans="1:9">
      <c r="A23" s="6" t="s">
        <v>1585</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1833</v>
      </c>
      <c r="E23" s="30"/>
      <c r="F23" t="s">
        <v>1834</v>
      </c>
      <c r="G23" t="s">
        <v>1835</v>
      </c>
      <c r="I23" t="s">
        <v>1836</v>
      </c>
    </row>
    <row r="24" spans="1:9">
      <c r="A24" s="6" t="s">
        <v>1796</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1797</v>
      </c>
      <c r="E24" s="30"/>
      <c r="F24" t="s">
        <v>1798</v>
      </c>
      <c r="G24" t="s">
        <v>1799</v>
      </c>
      <c r="I24" t="s">
        <v>1800</v>
      </c>
    </row>
    <row r="25" spans="1:9">
      <c r="A25" s="6" t="s">
        <v>1585</v>
      </c>
      <c r="B25" s="7" t="str">
        <f>Tabelle14[[#This Row],[Dateiname]]</f>
        <v>fee</v>
      </c>
      <c r="C25" s="2" t="s">
        <v>4</v>
      </c>
      <c r="D25" s="9" t="s">
        <v>2119</v>
      </c>
      <c r="E25" s="30"/>
      <c r="F25" t="s">
        <v>2120</v>
      </c>
      <c r="G25" t="s">
        <v>2121</v>
      </c>
      <c r="I25" t="s">
        <v>2122</v>
      </c>
    </row>
    <row r="26" spans="1:9">
      <c r="A26" s="6" t="s">
        <v>1641</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1642</v>
      </c>
      <c r="E26" s="30"/>
      <c r="F26" t="s">
        <v>1643</v>
      </c>
      <c r="G26" t="s">
        <v>1644</v>
      </c>
      <c r="I26" t="s">
        <v>1645</v>
      </c>
    </row>
    <row r="27" spans="1:9">
      <c r="A27" s="6" t="s">
        <v>887</v>
      </c>
      <c r="B27" s="7" t="str">
        <f>Tabelle14[[#This Row],[Dateiname]]</f>
        <v>feuerwerk</v>
      </c>
      <c r="C27" s="2" t="s">
        <v>4</v>
      </c>
      <c r="D27" s="9" t="s">
        <v>2071</v>
      </c>
      <c r="E27" s="30"/>
      <c r="F27" t="s">
        <v>2072</v>
      </c>
      <c r="G27" t="s">
        <v>2073</v>
      </c>
      <c r="I27" t="s">
        <v>2074</v>
      </c>
    </row>
    <row r="28" spans="1:9">
      <c r="A28" s="6" t="s">
        <v>1811</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1818</v>
      </c>
      <c r="E28" s="30"/>
      <c r="F28" t="s">
        <v>1819</v>
      </c>
      <c r="G28" t="s">
        <v>1820</v>
      </c>
      <c r="I28" t="s">
        <v>1821</v>
      </c>
    </row>
    <row r="29" spans="1:9">
      <c r="A29" s="6" t="s">
        <v>1585</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1584</v>
      </c>
      <c r="E29" s="30"/>
      <c r="F29" t="s">
        <v>1586</v>
      </c>
      <c r="G29" t="s">
        <v>1587</v>
      </c>
      <c r="I29" t="s">
        <v>1588</v>
      </c>
    </row>
    <row r="30" spans="1:9">
      <c r="A30" s="6" t="s">
        <v>1585</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1593</v>
      </c>
      <c r="E30" s="30"/>
      <c r="F30" t="s">
        <v>1594</v>
      </c>
      <c r="G30" t="s">
        <v>1595</v>
      </c>
      <c r="I30" t="s">
        <v>1596</v>
      </c>
    </row>
    <row r="31" spans="1:9">
      <c r="A31" s="6" t="s">
        <v>1782</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1783</v>
      </c>
      <c r="E31" s="30"/>
      <c r="F31" t="s">
        <v>1784</v>
      </c>
      <c r="G31" t="s">
        <v>1785</v>
      </c>
      <c r="I31" t="s">
        <v>1786</v>
      </c>
    </row>
    <row r="32" spans="1:9">
      <c r="A32" s="6" t="s">
        <v>2092</v>
      </c>
      <c r="B32" s="7" t="str">
        <f>Tabelle14[[#This Row],[Dateiname]]</f>
        <v>geldbeutel</v>
      </c>
      <c r="C32" s="2" t="s">
        <v>4</v>
      </c>
      <c r="D32" s="9" t="s">
        <v>2093</v>
      </c>
      <c r="E32" s="30"/>
      <c r="F32" t="s">
        <v>2094</v>
      </c>
      <c r="G32" t="s">
        <v>2095</v>
      </c>
      <c r="I32" t="s">
        <v>2096</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1650</v>
      </c>
      <c r="E33" s="30"/>
      <c r="F33" t="s">
        <v>1651</v>
      </c>
      <c r="G33" t="s">
        <v>1655</v>
      </c>
      <c r="I33" t="s">
        <v>1653</v>
      </c>
      <c r="L33" t="s">
        <v>1652</v>
      </c>
    </row>
    <row r="34" spans="1:12">
      <c r="A34" s="6" t="s">
        <v>1811</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1812</v>
      </c>
      <c r="E34" s="30"/>
      <c r="F34" t="s">
        <v>1017</v>
      </c>
      <c r="G34" t="s">
        <v>1813</v>
      </c>
      <c r="I34" t="s">
        <v>1019</v>
      </c>
    </row>
    <row r="35" spans="1:12">
      <c r="A35" s="6" t="s">
        <v>1585</v>
      </c>
      <c r="B35" s="7" t="str">
        <f>Tabelle14[[#This Row],[Dateiname]]</f>
        <v>golf</v>
      </c>
      <c r="C35" s="2" t="s">
        <v>4</v>
      </c>
      <c r="D35" s="9" t="s">
        <v>2009</v>
      </c>
      <c r="E35" s="30"/>
      <c r="F35" t="s">
        <v>2010</v>
      </c>
      <c r="G35" t="s">
        <v>2011</v>
      </c>
      <c r="I35" t="s">
        <v>2011</v>
      </c>
    </row>
    <row r="36" spans="1:12">
      <c r="A36" s="6" t="s">
        <v>1585</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1852</v>
      </c>
      <c r="E36" s="30"/>
      <c r="F36" t="s">
        <v>1853</v>
      </c>
      <c r="G36" t="s">
        <v>1855</v>
      </c>
      <c r="I36" t="s">
        <v>1854</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1612</v>
      </c>
      <c r="E37" s="30"/>
      <c r="F37" t="s">
        <v>1613</v>
      </c>
      <c r="G37" t="s">
        <v>1614</v>
      </c>
      <c r="I37" t="s">
        <v>1614</v>
      </c>
    </row>
    <row r="38" spans="1:12">
      <c r="A38" s="6" t="s">
        <v>1139</v>
      </c>
      <c r="B38" s="7" t="str">
        <f>Tabelle14[[#This Row],[Dateiname]]</f>
        <v>gymnastik</v>
      </c>
      <c r="C38" s="2" t="s">
        <v>4</v>
      </c>
      <c r="D38" s="9" t="s">
        <v>2001</v>
      </c>
      <c r="E38" s="30"/>
      <c r="F38" t="s">
        <v>2002</v>
      </c>
      <c r="G38" t="s">
        <v>2003</v>
      </c>
      <c r="I38" t="s">
        <v>2004</v>
      </c>
    </row>
    <row r="39" spans="1:12">
      <c r="A39" s="6" t="s">
        <v>1585</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1891</v>
      </c>
      <c r="E39" s="30"/>
      <c r="F39" t="s">
        <v>1892</v>
      </c>
      <c r="G39" t="s">
        <v>1893</v>
      </c>
      <c r="I39" t="s">
        <v>1894</v>
      </c>
    </row>
    <row r="40" spans="1:12">
      <c r="A40" s="6" t="s">
        <v>1585</v>
      </c>
      <c r="B40" s="7" t="str">
        <f>Tabelle14[[#This Row],[Dateiname]]</f>
        <v>handtasche</v>
      </c>
      <c r="C40" s="2" t="s">
        <v>4</v>
      </c>
      <c r="D40" s="9" t="s">
        <v>2097</v>
      </c>
      <c r="E40" s="30"/>
      <c r="F40" t="s">
        <v>2098</v>
      </c>
      <c r="G40" t="s">
        <v>2099</v>
      </c>
      <c r="I40" t="s">
        <v>2100</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1637</v>
      </c>
      <c r="E41" s="30"/>
      <c r="F41" t="s">
        <v>1638</v>
      </c>
      <c r="G41" t="s">
        <v>1639</v>
      </c>
      <c r="I41" t="s">
        <v>1640</v>
      </c>
    </row>
    <row r="42" spans="1:12">
      <c r="A42" s="6" t="s">
        <v>1175</v>
      </c>
      <c r="B42" s="7" t="str">
        <f>Tabelle14[[#This Row],[Dateiname]]</f>
        <v>hoehle</v>
      </c>
      <c r="C42" s="2" t="s">
        <v>4</v>
      </c>
      <c r="D42" s="9" t="s">
        <v>2054</v>
      </c>
      <c r="E42" s="30"/>
      <c r="F42" t="s">
        <v>2055</v>
      </c>
      <c r="G42" t="s">
        <v>2056</v>
      </c>
      <c r="I42" t="s">
        <v>2057</v>
      </c>
    </row>
    <row r="43" spans="1:12">
      <c r="A43" s="6" t="s">
        <v>1621</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1749</v>
      </c>
      <c r="E43" s="30"/>
      <c r="F43" t="s">
        <v>1750</v>
      </c>
      <c r="G43" t="s">
        <v>1751</v>
      </c>
      <c r="I43" t="s">
        <v>1752</v>
      </c>
    </row>
    <row r="44" spans="1:12">
      <c r="A44" s="6" t="s">
        <v>1660</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1661</v>
      </c>
      <c r="E44" s="30"/>
      <c r="F44" t="s">
        <v>1662</v>
      </c>
      <c r="G44" t="s">
        <v>1663</v>
      </c>
      <c r="I44" t="s">
        <v>1664</v>
      </c>
    </row>
    <row r="45" spans="1:12">
      <c r="A45" s="6" t="s">
        <v>1585</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1601</v>
      </c>
      <c r="E45" s="30"/>
      <c r="F45" t="s">
        <v>1602</v>
      </c>
      <c r="G45" t="s">
        <v>1603</v>
      </c>
      <c r="I45" t="s">
        <v>1604</v>
      </c>
    </row>
    <row r="46" spans="1:12">
      <c r="A46" s="6" t="s">
        <v>1585</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1837</v>
      </c>
      <c r="E46" s="30" t="s">
        <v>1840</v>
      </c>
      <c r="F46" t="s">
        <v>1838</v>
      </c>
      <c r="G46" t="s">
        <v>1839</v>
      </c>
      <c r="I46" t="s">
        <v>403</v>
      </c>
    </row>
    <row r="47" spans="1:12">
      <c r="A47" s="6" t="s">
        <v>1585</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1874</v>
      </c>
      <c r="E47" s="30"/>
      <c r="F47" t="s">
        <v>2816</v>
      </c>
      <c r="G47" t="s">
        <v>2817</v>
      </c>
      <c r="I47" t="s">
        <v>1875</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1721</v>
      </c>
      <c r="E48" s="30"/>
      <c r="F48" t="s">
        <v>1722</v>
      </c>
      <c r="G48" t="s">
        <v>1723</v>
      </c>
      <c r="I48" t="s">
        <v>1724</v>
      </c>
    </row>
    <row r="49" spans="1:12">
      <c r="A49" s="6" t="s">
        <v>1585</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1886</v>
      </c>
      <c r="E49" s="30"/>
      <c r="F49" t="s">
        <v>1887</v>
      </c>
      <c r="G49" t="s">
        <v>1889</v>
      </c>
      <c r="H49" t="s">
        <v>1890</v>
      </c>
      <c r="I49" t="s">
        <v>569</v>
      </c>
    </row>
    <row r="50" spans="1:12">
      <c r="A50" s="6" t="s">
        <v>1585</v>
      </c>
      <c r="B50" s="7" t="str">
        <f>Tabelle14[[#This Row],[Dateiname]]</f>
        <v>karton</v>
      </c>
      <c r="C50" s="2" t="s">
        <v>4</v>
      </c>
      <c r="D50" s="9" t="s">
        <v>2101</v>
      </c>
      <c r="E50" s="30"/>
      <c r="F50" t="s">
        <v>2102</v>
      </c>
      <c r="G50" t="s">
        <v>2103</v>
      </c>
      <c r="I50" t="s">
        <v>2104</v>
      </c>
      <c r="L50" t="s">
        <v>2105</v>
      </c>
    </row>
    <row r="51" spans="1:12">
      <c r="A51" s="6" t="s">
        <v>1772</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1773</v>
      </c>
      <c r="E51" s="30"/>
      <c r="F51" t="s">
        <v>1774</v>
      </c>
      <c r="G51" t="s">
        <v>1775</v>
      </c>
      <c r="I51" t="s">
        <v>1776</v>
      </c>
    </row>
    <row r="52" spans="1:12">
      <c r="A52" s="6" t="s">
        <v>1698</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1712</v>
      </c>
      <c r="E52" s="30"/>
      <c r="F52" t="s">
        <v>1713</v>
      </c>
      <c r="G52" t="s">
        <v>1714</v>
      </c>
      <c r="I52" t="s">
        <v>1715</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1920</v>
      </c>
      <c r="E53" s="30"/>
      <c r="F53" t="s">
        <v>1921</v>
      </c>
      <c r="G53" t="s">
        <v>1922</v>
      </c>
      <c r="I53" t="s">
        <v>1923</v>
      </c>
    </row>
    <row r="54" spans="1:12">
      <c r="A54" s="6" t="s">
        <v>1585</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1870</v>
      </c>
      <c r="E54" s="30"/>
      <c r="F54" t="s">
        <v>1871</v>
      </c>
      <c r="G54" t="s">
        <v>1872</v>
      </c>
      <c r="I54" t="s">
        <v>1873</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1617</v>
      </c>
      <c r="G55" t="s">
        <v>1618</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2818</v>
      </c>
      <c r="E56" s="30"/>
      <c r="F56" t="s">
        <v>1903</v>
      </c>
      <c r="G56" t="s">
        <v>1904</v>
      </c>
      <c r="I56" t="s">
        <v>1905</v>
      </c>
    </row>
    <row r="57" spans="1:12">
      <c r="A57" s="6" t="s">
        <v>1585</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1678</v>
      </c>
      <c r="E57" s="30"/>
      <c r="F57" t="s">
        <v>1679</v>
      </c>
      <c r="G57" t="s">
        <v>1680</v>
      </c>
      <c r="I57" t="s">
        <v>1681</v>
      </c>
    </row>
    <row r="58" spans="1:12">
      <c r="A58" s="6" t="s">
        <v>1933</v>
      </c>
      <c r="B58" s="7" t="str">
        <f>Tabelle14[[#This Row],[Dateiname]]</f>
        <v>krokodil</v>
      </c>
      <c r="C58" s="2" t="s">
        <v>4</v>
      </c>
      <c r="D58" s="9" t="s">
        <v>2041</v>
      </c>
      <c r="E58" s="30"/>
      <c r="F58" t="s">
        <v>2042</v>
      </c>
      <c r="G58" t="s">
        <v>2043</v>
      </c>
      <c r="I58" t="s">
        <v>2044</v>
      </c>
    </row>
    <row r="59" spans="1:12">
      <c r="A59" s="6" t="s">
        <v>1585</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1845</v>
      </c>
      <c r="E59" s="30"/>
      <c r="F59" t="s">
        <v>1846</v>
      </c>
      <c r="G59" t="s">
        <v>1847</v>
      </c>
      <c r="I59" t="s">
        <v>1847</v>
      </c>
    </row>
    <row r="60" spans="1:12">
      <c r="A60" s="6" t="s">
        <v>1730</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1731</v>
      </c>
      <c r="E60" s="30"/>
      <c r="F60" t="s">
        <v>1732</v>
      </c>
      <c r="G60" t="s">
        <v>1733</v>
      </c>
      <c r="I60" t="s">
        <v>1734</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1682</v>
      </c>
      <c r="E61" s="30"/>
      <c r="F61" t="s">
        <v>1692</v>
      </c>
      <c r="G61" t="s">
        <v>1687</v>
      </c>
      <c r="I61" t="s">
        <v>1686</v>
      </c>
    </row>
    <row r="62" spans="1:12">
      <c r="A62" s="6" t="s">
        <v>1962</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1963</v>
      </c>
      <c r="E62" s="30" t="s">
        <v>1964</v>
      </c>
      <c r="F62" t="s">
        <v>1968</v>
      </c>
      <c r="G62" t="s">
        <v>1970</v>
      </c>
      <c r="I62" t="s">
        <v>1966</v>
      </c>
    </row>
    <row r="63" spans="1:12">
      <c r="A63" s="6" t="s">
        <v>1621</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1942</v>
      </c>
      <c r="E63" s="30"/>
      <c r="F63" t="s">
        <v>1943</v>
      </c>
      <c r="G63" t="s">
        <v>1944</v>
      </c>
      <c r="I63" t="s">
        <v>1945</v>
      </c>
    </row>
    <row r="64" spans="1:12">
      <c r="A64" s="6" t="s">
        <v>1585</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1589</v>
      </c>
      <c r="E64" s="30"/>
      <c r="F64" t="s">
        <v>1590</v>
      </c>
      <c r="G64" t="s">
        <v>1591</v>
      </c>
      <c r="I64" t="s">
        <v>1592</v>
      </c>
    </row>
    <row r="65" spans="1:12">
      <c r="A65" s="6" t="s">
        <v>1787</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1788</v>
      </c>
      <c r="E65" s="30"/>
      <c r="F65" t="s">
        <v>1789</v>
      </c>
      <c r="G65" t="s">
        <v>1790</v>
      </c>
      <c r="I65" t="s">
        <v>1791</v>
      </c>
    </row>
    <row r="66" spans="1:12">
      <c r="A66" s="6" t="s">
        <v>1792</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1793</v>
      </c>
      <c r="E66" s="30"/>
      <c r="F66" t="s">
        <v>1794</v>
      </c>
      <c r="G66" t="s">
        <v>1795</v>
      </c>
      <c r="I66" t="s">
        <v>1795</v>
      </c>
    </row>
    <row r="67" spans="1:12">
      <c r="A67" s="6" t="s">
        <v>1698</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1708</v>
      </c>
      <c r="E67" s="30"/>
      <c r="F67" t="s">
        <v>1709</v>
      </c>
      <c r="G67" t="s">
        <v>1710</v>
      </c>
      <c r="I67" t="s">
        <v>1711</v>
      </c>
    </row>
    <row r="68" spans="1:12">
      <c r="A68" s="6" t="s">
        <v>1621</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1929</v>
      </c>
      <c r="E68" s="30"/>
      <c r="F68" t="s">
        <v>1930</v>
      </c>
      <c r="G68" t="s">
        <v>1931</v>
      </c>
      <c r="I68" t="s">
        <v>1932</v>
      </c>
    </row>
    <row r="69" spans="1:12">
      <c r="A69" s="6" t="s">
        <v>1924</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1925</v>
      </c>
      <c r="E69" s="30"/>
      <c r="F69" t="s">
        <v>1926</v>
      </c>
      <c r="G69" t="s">
        <v>1927</v>
      </c>
      <c r="I69" t="s">
        <v>1928</v>
      </c>
    </row>
    <row r="70" spans="1:12">
      <c r="A70" s="6" t="s">
        <v>1915</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1916</v>
      </c>
      <c r="E70" s="30"/>
      <c r="F70" t="s">
        <v>1917</v>
      </c>
      <c r="G70" t="s">
        <v>1918</v>
      </c>
      <c r="I70" t="s">
        <v>1919</v>
      </c>
    </row>
    <row r="71" spans="1:12">
      <c r="A71" s="6" t="s">
        <v>1693</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1694</v>
      </c>
      <c r="E71" s="30"/>
      <c r="F71" t="s">
        <v>1695</v>
      </c>
      <c r="G71" t="s">
        <v>1696</v>
      </c>
      <c r="I71" t="s">
        <v>1697</v>
      </c>
    </row>
    <row r="72" spans="1:12">
      <c r="A72" s="6" t="s">
        <v>2075</v>
      </c>
      <c r="B72" s="7" t="str">
        <f>Tabelle14[[#This Row],[Dateiname]]</f>
        <v>oellampe</v>
      </c>
      <c r="C72" s="2" t="s">
        <v>4</v>
      </c>
      <c r="D72" s="9" t="s">
        <v>2076</v>
      </c>
      <c r="E72" s="30"/>
      <c r="F72" t="s">
        <v>2077</v>
      </c>
      <c r="G72" t="s">
        <v>2078</v>
      </c>
      <c r="I72" t="s">
        <v>2079</v>
      </c>
    </row>
    <row r="73" spans="1:12">
      <c r="A73" s="6" t="s">
        <v>1585</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1856</v>
      </c>
      <c r="E73" s="30"/>
      <c r="F73" t="s">
        <v>1857</v>
      </c>
      <c r="G73" t="s">
        <v>1858</v>
      </c>
      <c r="I73" t="s">
        <v>1859</v>
      </c>
      <c r="K73" t="s">
        <v>785</v>
      </c>
      <c r="L73" t="s">
        <v>1860</v>
      </c>
    </row>
    <row r="74" spans="1:12">
      <c r="A74" s="6" t="s">
        <v>2117</v>
      </c>
      <c r="B74" s="7" t="str">
        <f>Tabelle14[[#This Row],[Dateiname]]</f>
        <v>pfad</v>
      </c>
      <c r="C74" s="2" t="s">
        <v>4</v>
      </c>
      <c r="D74" s="9" t="s">
        <v>2118</v>
      </c>
      <c r="E74" s="30"/>
      <c r="F74" t="s">
        <v>2114</v>
      </c>
      <c r="G74" t="s">
        <v>2116</v>
      </c>
      <c r="I74" t="s">
        <v>2115</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1682</v>
      </c>
      <c r="E75" s="30"/>
      <c r="F75" t="s">
        <v>1683</v>
      </c>
      <c r="G75" t="s">
        <v>1685</v>
      </c>
      <c r="I75" t="s">
        <v>1684</v>
      </c>
    </row>
    <row r="76" spans="1:12">
      <c r="A76" s="6" t="s">
        <v>1585</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1876</v>
      </c>
      <c r="E76" s="30"/>
      <c r="F76" t="s">
        <v>3313</v>
      </c>
      <c r="G76" t="s">
        <v>1877</v>
      </c>
      <c r="I76" t="s">
        <v>3314</v>
      </c>
    </row>
    <row r="77" spans="1:12">
      <c r="A77" s="6" t="s">
        <v>2123</v>
      </c>
      <c r="B77" s="7" t="str">
        <f>Tabelle14[[#This Row],[Dateiname]]</f>
        <v>pikachu</v>
      </c>
      <c r="C77" s="2" t="s">
        <v>4</v>
      </c>
      <c r="D77" s="9" t="s">
        <v>2124</v>
      </c>
      <c r="E77" s="30"/>
      <c r="F77" t="s">
        <v>2125</v>
      </c>
      <c r="G77" t="s">
        <v>2126</v>
      </c>
      <c r="I77" t="s">
        <v>2127</v>
      </c>
    </row>
    <row r="78" spans="1:12">
      <c r="A78" s="12" t="s">
        <v>1585</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1879</v>
      </c>
      <c r="E78" s="27"/>
      <c r="F78" t="s">
        <v>1881</v>
      </c>
      <c r="G78" t="s">
        <v>1880</v>
      </c>
      <c r="I78" t="s">
        <v>1006</v>
      </c>
      <c r="K78" t="s">
        <v>785</v>
      </c>
      <c r="L78" t="s">
        <v>1882</v>
      </c>
    </row>
    <row r="79" spans="1:12">
      <c r="A79" s="6" t="s">
        <v>1621</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1745</v>
      </c>
      <c r="E79" s="26"/>
      <c r="F79" t="s">
        <v>1746</v>
      </c>
      <c r="G79" t="s">
        <v>1747</v>
      </c>
      <c r="I79" t="s">
        <v>1748</v>
      </c>
    </row>
    <row r="80" spans="1:12">
      <c r="A80" s="6" t="s">
        <v>1175</v>
      </c>
      <c r="B80" s="7" t="str">
        <f>Tabelle14[[#This Row],[Dateiname]]</f>
        <v>radiergummi</v>
      </c>
      <c r="C80" s="2" t="s">
        <v>4</v>
      </c>
      <c r="D80" s="9" t="s">
        <v>2049</v>
      </c>
      <c r="E80" s="30"/>
      <c r="F80" t="s">
        <v>2050</v>
      </c>
      <c r="G80" t="s">
        <v>2051</v>
      </c>
      <c r="H80" t="s">
        <v>2052</v>
      </c>
      <c r="I80" t="s">
        <v>2053</v>
      </c>
    </row>
    <row r="81" spans="1:12">
      <c r="A81" s="6" t="s">
        <v>1621</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1946</v>
      </c>
      <c r="E81" s="30"/>
      <c r="F81" t="s">
        <v>1947</v>
      </c>
      <c r="G81" t="s">
        <v>1949</v>
      </c>
      <c r="I81" t="s">
        <v>1948</v>
      </c>
    </row>
    <row r="82" spans="1:12">
      <c r="A82" s="6" t="s">
        <v>1953</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1954</v>
      </c>
      <c r="E82" s="30"/>
      <c r="F82" t="s">
        <v>1955</v>
      </c>
      <c r="G82" t="s">
        <v>1956</v>
      </c>
      <c r="I82" t="s">
        <v>1957</v>
      </c>
    </row>
    <row r="83" spans="1:12">
      <c r="A83" s="6" t="s">
        <v>1983</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1984</v>
      </c>
      <c r="E83" s="30" t="s">
        <v>1985</v>
      </c>
      <c r="F83" t="s">
        <v>1986</v>
      </c>
      <c r="G83" t="s">
        <v>1988</v>
      </c>
      <c r="I83" t="s">
        <v>1987</v>
      </c>
    </row>
    <row r="84" spans="1:12">
      <c r="A84" s="6" t="s">
        <v>1698</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1735</v>
      </c>
      <c r="E84" s="26"/>
      <c r="F84" t="s">
        <v>1736</v>
      </c>
      <c r="G84" t="s">
        <v>1737</v>
      </c>
      <c r="I84" t="s">
        <v>1738</v>
      </c>
    </row>
    <row r="85" spans="1:12">
      <c r="A85" s="6" t="s">
        <v>1811</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1814</v>
      </c>
      <c r="E85" s="26"/>
      <c r="F85" t="s">
        <v>1816</v>
      </c>
      <c r="G85" t="s">
        <v>1815</v>
      </c>
      <c r="I85" t="s">
        <v>1817</v>
      </c>
    </row>
    <row r="86" spans="1:12">
      <c r="A86" s="6" t="s">
        <v>1996</v>
      </c>
      <c r="B86" s="7" t="str">
        <f>Tabelle14[[#This Row],[Dateiname]]</f>
        <v>schach</v>
      </c>
      <c r="C86" s="2" t="s">
        <v>4</v>
      </c>
      <c r="D86" s="9" t="s">
        <v>1997</v>
      </c>
      <c r="E86" s="30"/>
      <c r="F86" t="s">
        <v>1998</v>
      </c>
      <c r="G86" t="s">
        <v>1999</v>
      </c>
      <c r="I86" t="s">
        <v>2000</v>
      </c>
    </row>
    <row r="87" spans="1:12">
      <c r="A87" s="12" t="s">
        <v>1585</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1899</v>
      </c>
      <c r="E87" s="27"/>
      <c r="F87" t="s">
        <v>1900</v>
      </c>
      <c r="G87" t="s">
        <v>1901</v>
      </c>
      <c r="I87" t="s">
        <v>1900</v>
      </c>
      <c r="L87" t="s">
        <v>1902</v>
      </c>
    </row>
    <row r="88" spans="1:12">
      <c r="A88" s="6" t="s">
        <v>351</v>
      </c>
      <c r="B88" s="7" t="str">
        <f>Tabelle14[[#This Row],[Dateiname]]</f>
        <v>schokolade</v>
      </c>
      <c r="C88" s="2" t="s">
        <v>4</v>
      </c>
      <c r="D88" s="9" t="s">
        <v>2084</v>
      </c>
      <c r="E88" s="30"/>
      <c r="F88" t="s">
        <v>2085</v>
      </c>
      <c r="G88" t="s">
        <v>2086</v>
      </c>
      <c r="I88" t="s">
        <v>2087</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1646</v>
      </c>
      <c r="E89" s="26"/>
      <c r="F89" t="s">
        <v>1647</v>
      </c>
      <c r="G89" t="s">
        <v>1649</v>
      </c>
      <c r="I89" t="s">
        <v>1648</v>
      </c>
    </row>
    <row r="90" spans="1:12">
      <c r="A90" s="6" t="s">
        <v>1777</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1778</v>
      </c>
      <c r="E90" s="26"/>
      <c r="F90" t="s">
        <v>1779</v>
      </c>
      <c r="G90" t="s">
        <v>1780</v>
      </c>
      <c r="I90" t="s">
        <v>1781</v>
      </c>
    </row>
    <row r="91" spans="1:12">
      <c r="A91" s="6" t="s">
        <v>1971</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1972</v>
      </c>
      <c r="E91" s="30" t="s">
        <v>1973</v>
      </c>
      <c r="F91" t="s">
        <v>1974</v>
      </c>
      <c r="G91" t="s">
        <v>1976</v>
      </c>
      <c r="I91" t="s">
        <v>1975</v>
      </c>
    </row>
    <row r="92" spans="1:12">
      <c r="A92" s="6" t="s">
        <v>19</v>
      </c>
      <c r="B92" s="7" t="str">
        <f>Tabelle14[[#This Row],[Dateiname]]</f>
        <v>solarzellen</v>
      </c>
      <c r="C92" s="2" t="s">
        <v>4</v>
      </c>
      <c r="D92" s="9" t="s">
        <v>2028</v>
      </c>
      <c r="E92" s="30"/>
      <c r="F92" t="s">
        <v>2029</v>
      </c>
      <c r="G92" t="s">
        <v>2030</v>
      </c>
      <c r="I92" t="s">
        <v>2031</v>
      </c>
    </row>
    <row r="93" spans="1:12">
      <c r="A93" s="6" t="s">
        <v>1811</v>
      </c>
      <c r="B93" s="7" t="str">
        <f>Tabelle14[[#This Row],[Dateiname]]</f>
        <v>stapel</v>
      </c>
      <c r="C93" s="2" t="s">
        <v>4</v>
      </c>
      <c r="D93" s="9" t="s">
        <v>2106</v>
      </c>
      <c r="E93" s="30"/>
      <c r="F93" t="s">
        <v>2107</v>
      </c>
      <c r="G93" t="s">
        <v>2108</v>
      </c>
      <c r="I93" t="s">
        <v>2109</v>
      </c>
      <c r="K93" t="s">
        <v>311</v>
      </c>
    </row>
    <row r="94" spans="1:12">
      <c r="A94" s="6" t="s">
        <v>1716</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1717</v>
      </c>
      <c r="E94" s="26"/>
      <c r="F94" t="s">
        <v>1718</v>
      </c>
      <c r="G94" t="s">
        <v>1720</v>
      </c>
      <c r="I94" t="s">
        <v>1719</v>
      </c>
    </row>
    <row r="95" spans="1:12">
      <c r="A95" s="6" t="s">
        <v>2032</v>
      </c>
      <c r="B95" s="7" t="str">
        <f>Tabelle14[[#This Row],[Dateiname]]</f>
        <v>staudamm</v>
      </c>
      <c r="C95" s="2" t="s">
        <v>4</v>
      </c>
      <c r="D95" s="9" t="s">
        <v>2033</v>
      </c>
      <c r="E95" s="30"/>
      <c r="F95" t="s">
        <v>2034</v>
      </c>
      <c r="G95" t="s">
        <v>2036</v>
      </c>
      <c r="I95" t="s">
        <v>2035</v>
      </c>
    </row>
    <row r="96" spans="1:12">
      <c r="A96" s="6" t="s">
        <v>942</v>
      </c>
      <c r="B96" s="7" t="str">
        <f>Tabelle14[[#This Row],[Dateiname]]</f>
        <v>steg</v>
      </c>
      <c r="C96" s="2" t="s">
        <v>4</v>
      </c>
      <c r="D96" s="9" t="s">
        <v>2110</v>
      </c>
      <c r="E96" s="30"/>
      <c r="F96" t="s">
        <v>2111</v>
      </c>
      <c r="G96" t="s">
        <v>2112</v>
      </c>
      <c r="I96" t="s">
        <v>2113</v>
      </c>
    </row>
    <row r="97" spans="1:12">
      <c r="A97" s="6" t="s">
        <v>1175</v>
      </c>
      <c r="B97" s="7" t="str">
        <f>Tabelle14[[#This Row],[Dateiname]]</f>
        <v>streichholz</v>
      </c>
      <c r="C97" s="2" t="s">
        <v>4</v>
      </c>
      <c r="D97" s="9" t="s">
        <v>2067</v>
      </c>
      <c r="E97" s="30"/>
      <c r="F97" t="s">
        <v>2068</v>
      </c>
      <c r="G97" t="s">
        <v>2069</v>
      </c>
      <c r="I97" t="s">
        <v>2070</v>
      </c>
    </row>
    <row r="98" spans="1:12">
      <c r="A98" s="6" t="s">
        <v>1175</v>
      </c>
      <c r="B98" s="7" t="str">
        <f>Tabelle14[[#This Row],[Dateiname]]</f>
        <v>suessigkeit</v>
      </c>
      <c r="C98" s="2" t="s">
        <v>4</v>
      </c>
      <c r="D98" s="9" t="s">
        <v>2058</v>
      </c>
      <c r="E98" s="30"/>
      <c r="F98" t="s">
        <v>2059</v>
      </c>
      <c r="G98" t="s">
        <v>2060</v>
      </c>
      <c r="H98" t="s">
        <v>2061</v>
      </c>
      <c r="I98" t="s">
        <v>2062</v>
      </c>
    </row>
    <row r="99" spans="1:12">
      <c r="A99" s="6" t="s">
        <v>1757</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1758</v>
      </c>
      <c r="E99" s="26"/>
      <c r="F99" t="s">
        <v>1759</v>
      </c>
      <c r="G99" t="s">
        <v>1760</v>
      </c>
      <c r="I99" t="s">
        <v>1761</v>
      </c>
      <c r="K99" t="s">
        <v>311</v>
      </c>
    </row>
    <row r="100" spans="1:12">
      <c r="A100" s="12" t="s">
        <v>1585</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1841</v>
      </c>
      <c r="E100" s="27"/>
      <c r="F100" t="s">
        <v>1842</v>
      </c>
      <c r="G100" t="s">
        <v>1843</v>
      </c>
      <c r="I100" t="s">
        <v>1844</v>
      </c>
    </row>
    <row r="101" spans="1:12">
      <c r="A101" s="6" t="s">
        <v>1767</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1768</v>
      </c>
      <c r="E101" s="26"/>
      <c r="F101" t="s">
        <v>1769</v>
      </c>
      <c r="G101" t="s">
        <v>1770</v>
      </c>
      <c r="I101" t="s">
        <v>1771</v>
      </c>
    </row>
    <row r="102" spans="1:12">
      <c r="A102" s="6" t="s">
        <v>1977</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1978</v>
      </c>
      <c r="E102" s="30" t="s">
        <v>1979</v>
      </c>
      <c r="F102" t="s">
        <v>1981</v>
      </c>
      <c r="G102" t="s">
        <v>1982</v>
      </c>
      <c r="I102" t="s">
        <v>1980</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1688</v>
      </c>
      <c r="E103" s="26"/>
      <c r="F103" t="s">
        <v>1689</v>
      </c>
      <c r="G103" t="s">
        <v>1690</v>
      </c>
      <c r="I103" t="s">
        <v>1691</v>
      </c>
    </row>
    <row r="104" spans="1:12">
      <c r="A104" s="6" t="s">
        <v>1585</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1753</v>
      </c>
      <c r="E104" s="26"/>
      <c r="F104" t="s">
        <v>1754</v>
      </c>
      <c r="G104" t="s">
        <v>1755</v>
      </c>
      <c r="I104" t="s">
        <v>1756</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1633</v>
      </c>
      <c r="E105" s="26"/>
      <c r="F105" t="s">
        <v>1634</v>
      </c>
      <c r="G105" t="s">
        <v>1636</v>
      </c>
      <c r="I105" t="s">
        <v>1635</v>
      </c>
    </row>
    <row r="106" spans="1:12">
      <c r="A106" s="6" t="s">
        <v>1762</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1763</v>
      </c>
      <c r="E106" s="26"/>
      <c r="F106" t="s">
        <v>1764</v>
      </c>
      <c r="G106" t="s">
        <v>1765</v>
      </c>
      <c r="I106" t="s">
        <v>1766</v>
      </c>
    </row>
    <row r="107" spans="1:12">
      <c r="A107" s="6" t="s">
        <v>1621</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1622</v>
      </c>
      <c r="E107" s="26"/>
      <c r="F107" t="s">
        <v>1624</v>
      </c>
      <c r="G107" t="s">
        <v>1623</v>
      </c>
      <c r="I107" t="s">
        <v>1626</v>
      </c>
      <c r="L107" t="s">
        <v>1625</v>
      </c>
    </row>
    <row r="108" spans="1:12">
      <c r="A108" s="6" t="s">
        <v>1698</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1699</v>
      </c>
      <c r="E108" s="26"/>
      <c r="F108" t="s">
        <v>1700</v>
      </c>
      <c r="G108" t="s">
        <v>1702</v>
      </c>
      <c r="H108" t="s">
        <v>1701</v>
      </c>
      <c r="I108" t="s">
        <v>1703</v>
      </c>
    </row>
    <row r="109" spans="1:12">
      <c r="A109" s="6" t="s">
        <v>1585</v>
      </c>
      <c r="B109" s="7" t="str">
        <f>Tabelle14[[#This Row],[Dateiname]]</f>
        <v>wal</v>
      </c>
      <c r="C109" s="2" t="s">
        <v>4</v>
      </c>
      <c r="D109" s="9" t="s">
        <v>2024</v>
      </c>
      <c r="E109" s="30"/>
      <c r="F109" t="s">
        <v>2025</v>
      </c>
      <c r="G109" t="s">
        <v>2026</v>
      </c>
      <c r="I109" t="s">
        <v>2027</v>
      </c>
    </row>
    <row r="110" spans="1:12">
      <c r="A110" s="6" t="s">
        <v>1585</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1609</v>
      </c>
      <c r="E110" s="26"/>
      <c r="F110" t="s">
        <v>1610</v>
      </c>
      <c r="G110" t="s">
        <v>1611</v>
      </c>
      <c r="I110" t="s">
        <v>1654</v>
      </c>
    </row>
    <row r="111" spans="1:12">
      <c r="A111" s="6" t="s">
        <v>1811</v>
      </c>
      <c r="B111" s="7" t="str">
        <f>Tabelle14[[#This Row],[Dateiname]]</f>
        <v>wecker</v>
      </c>
      <c r="C111" s="2" t="s">
        <v>4</v>
      </c>
      <c r="D111" s="9" t="s">
        <v>2088</v>
      </c>
      <c r="E111" s="30"/>
      <c r="F111" t="s">
        <v>2089</v>
      </c>
      <c r="G111" t="s">
        <v>2090</v>
      </c>
      <c r="I111" t="s">
        <v>2091</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1615</v>
      </c>
      <c r="E112" s="26"/>
      <c r="F112" t="s">
        <v>1619</v>
      </c>
      <c r="G112" t="s">
        <v>1620</v>
      </c>
      <c r="I112" t="s">
        <v>1616</v>
      </c>
    </row>
    <row r="113" spans="1:12">
      <c r="A113" s="6" t="s">
        <v>1621</v>
      </c>
      <c r="B113" s="7" t="str">
        <f>Tabelle14[[#This Row],[Dateiname]]</f>
        <v>windsurfen</v>
      </c>
      <c r="C113" s="2" t="s">
        <v>4</v>
      </c>
      <c r="D113" s="9" t="s">
        <v>2012</v>
      </c>
      <c r="E113" s="30"/>
      <c r="F113" t="s">
        <v>2013</v>
      </c>
      <c r="G113" t="s">
        <v>2014</v>
      </c>
      <c r="I113" t="s">
        <v>2015</v>
      </c>
      <c r="L113" t="s">
        <v>2020</v>
      </c>
    </row>
    <row r="114" spans="1:12">
      <c r="A114" s="6" t="s">
        <v>1725</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1726</v>
      </c>
      <c r="E114" s="26"/>
      <c r="F114" t="s">
        <v>1727</v>
      </c>
      <c r="G114" t="s">
        <v>1728</v>
      </c>
      <c r="I114" t="s">
        <v>1729</v>
      </c>
    </row>
    <row r="115" spans="1:12">
      <c r="A115" s="6" t="s">
        <v>1585</v>
      </c>
      <c r="B115" s="7" t="str">
        <f>Tabelle14[[#This Row],[Dateiname]]</f>
        <v>yoga</v>
      </c>
      <c r="C115" s="2" t="s">
        <v>4</v>
      </c>
      <c r="D115" s="9" t="s">
        <v>2005</v>
      </c>
      <c r="E115" s="30"/>
      <c r="F115" t="s">
        <v>2006</v>
      </c>
      <c r="G115" t="s">
        <v>2007</v>
      </c>
      <c r="I115" t="s">
        <v>2007</v>
      </c>
      <c r="L115" t="s">
        <v>2008</v>
      </c>
    </row>
    <row r="116" spans="1:12">
      <c r="A116" s="12" t="s">
        <v>1585</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1861</v>
      </c>
      <c r="E116" s="27"/>
      <c r="F116" t="s">
        <v>1862</v>
      </c>
      <c r="G116" t="s">
        <v>1863</v>
      </c>
      <c r="I116" t="s">
        <v>1864</v>
      </c>
      <c r="L116" t="s">
        <v>1865</v>
      </c>
    </row>
    <row r="117" spans="1:12">
      <c r="A117" s="6" t="s">
        <v>1585</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1674</v>
      </c>
      <c r="E117" s="26"/>
      <c r="F117" t="s">
        <v>1675</v>
      </c>
      <c r="G117" t="s">
        <v>1677</v>
      </c>
      <c r="I117" t="s">
        <v>1676</v>
      </c>
    </row>
    <row r="118" spans="1:12">
      <c r="A118" s="12" t="s">
        <v>1585</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1848</v>
      </c>
      <c r="E118" s="27"/>
      <c r="F118" t="s">
        <v>1849</v>
      </c>
      <c r="G118" t="s">
        <v>1850</v>
      </c>
      <c r="I118" t="s">
        <v>1851</v>
      </c>
    </row>
    <row r="119" spans="1:12">
      <c r="A119" s="6" t="s">
        <v>1585</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1666</v>
      </c>
      <c r="E119" s="26"/>
      <c r="F119" t="s">
        <v>1667</v>
      </c>
      <c r="G119" t="s">
        <v>1668</v>
      </c>
      <c r="I119" t="s">
        <v>1669</v>
      </c>
    </row>
    <row r="120" spans="1:12">
      <c r="A120" s="6" t="s">
        <v>1627</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1628</v>
      </c>
      <c r="E120" s="26"/>
      <c r="F120" t="s">
        <v>1629</v>
      </c>
      <c r="G120" t="s">
        <v>1630</v>
      </c>
      <c r="I120" t="s">
        <v>1631</v>
      </c>
    </row>
    <row r="121" spans="1:12">
      <c r="A121" s="6" t="s">
        <v>1585</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1801</v>
      </c>
      <c r="E121" s="26"/>
      <c r="F121" t="s">
        <v>1802</v>
      </c>
      <c r="G121" t="s">
        <v>1803</v>
      </c>
      <c r="I121" t="s">
        <v>1804</v>
      </c>
    </row>
    <row r="122" spans="1:12">
      <c r="A122" s="12" t="s">
        <v>1811</v>
      </c>
      <c r="B122" s="7" t="str">
        <f>Tabelle14[[#This Row],[Dateiname]]</f>
        <v>sternschnuppe</v>
      </c>
      <c r="C122" s="2" t="s">
        <v>2247</v>
      </c>
      <c r="D122" s="9" t="s">
        <v>2248</v>
      </c>
      <c r="E122" s="27"/>
      <c r="F122" t="s">
        <v>2278</v>
      </c>
      <c r="G122" t="s">
        <v>2298</v>
      </c>
      <c r="I122" t="s">
        <v>2267</v>
      </c>
    </row>
    <row r="123" spans="1:12">
      <c r="A123" s="12" t="s">
        <v>1698</v>
      </c>
      <c r="B123" s="7" t="str">
        <f>Tabelle14[[#This Row],[Dateiname]]</f>
        <v>paprika</v>
      </c>
      <c r="C123" s="2" t="s">
        <v>2247</v>
      </c>
      <c r="D123" s="9" t="s">
        <v>2249</v>
      </c>
      <c r="E123" s="27"/>
      <c r="F123" t="s">
        <v>2279</v>
      </c>
      <c r="G123" t="s">
        <v>2268</v>
      </c>
      <c r="I123" t="s">
        <v>2268</v>
      </c>
    </row>
    <row r="124" spans="1:12">
      <c r="A124" s="12" t="s">
        <v>1698</v>
      </c>
      <c r="B124" s="7" t="str">
        <f>Tabelle14[[#This Row],[Dateiname]]</f>
        <v>messband</v>
      </c>
      <c r="C124" s="2" t="s">
        <v>2247</v>
      </c>
      <c r="D124" s="9" t="s">
        <v>2250</v>
      </c>
      <c r="E124" s="27"/>
      <c r="F124" t="s">
        <v>2280</v>
      </c>
      <c r="G124" t="s">
        <v>2299</v>
      </c>
      <c r="I124" t="s">
        <v>2274</v>
      </c>
    </row>
    <row r="125" spans="1:12">
      <c r="A125" s="12" t="s">
        <v>1698</v>
      </c>
      <c r="B125" s="7" t="str">
        <f>Tabelle14[[#This Row],[Dateiname]]</f>
        <v>bahnhof</v>
      </c>
      <c r="C125" s="2" t="s">
        <v>2247</v>
      </c>
      <c r="D125" s="9" t="s">
        <v>2251</v>
      </c>
      <c r="E125" s="27"/>
      <c r="F125" t="s">
        <v>2281</v>
      </c>
      <c r="G125" t="s">
        <v>2300</v>
      </c>
      <c r="I125" t="s">
        <v>2269</v>
      </c>
    </row>
    <row r="126" spans="1:12">
      <c r="A126" s="12" t="s">
        <v>887</v>
      </c>
      <c r="B126" s="7" t="str">
        <f>Tabelle14[[#This Row],[Dateiname]]</f>
        <v>zorn</v>
      </c>
      <c r="C126" s="2" t="s">
        <v>2247</v>
      </c>
      <c r="D126" s="9" t="s">
        <v>2252</v>
      </c>
      <c r="E126" s="27"/>
      <c r="F126" t="s">
        <v>2282</v>
      </c>
      <c r="G126" t="s">
        <v>2301</v>
      </c>
      <c r="I126" t="s">
        <v>2270</v>
      </c>
    </row>
    <row r="127" spans="1:12">
      <c r="A127" s="12" t="s">
        <v>2253</v>
      </c>
      <c r="B127" s="7" t="str">
        <f>Tabelle14[[#This Row],[Dateiname]]</f>
        <v>gorilla</v>
      </c>
      <c r="C127" s="2" t="s">
        <v>2247</v>
      </c>
      <c r="D127" s="9" t="s">
        <v>2254</v>
      </c>
      <c r="E127" s="27"/>
      <c r="F127" t="s">
        <v>2283</v>
      </c>
      <c r="G127" t="s">
        <v>2271</v>
      </c>
      <c r="I127" t="s">
        <v>2271</v>
      </c>
    </row>
    <row r="128" spans="1:12">
      <c r="A128" s="12" t="s">
        <v>887</v>
      </c>
      <c r="B128" s="7" t="str">
        <f>Tabelle14[[#This Row],[Dateiname]]</f>
        <v>fragezeichen</v>
      </c>
      <c r="C128" s="2" t="s">
        <v>2247</v>
      </c>
      <c r="D128" s="9" t="s">
        <v>2255</v>
      </c>
      <c r="E128" s="27"/>
      <c r="F128" t="s">
        <v>2284</v>
      </c>
      <c r="G128" t="s">
        <v>2302</v>
      </c>
      <c r="I128" t="s">
        <v>2275</v>
      </c>
    </row>
    <row r="129" spans="1:9">
      <c r="A129" s="12" t="s">
        <v>2256</v>
      </c>
      <c r="B129" s="7" t="str">
        <f>Tabelle14[[#This Row],[Dateiname]]</f>
        <v>kalender</v>
      </c>
      <c r="C129" s="2" t="s">
        <v>2247</v>
      </c>
      <c r="D129" s="9" t="s">
        <v>2257</v>
      </c>
      <c r="E129" s="27"/>
      <c r="F129" t="s">
        <v>2285</v>
      </c>
      <c r="G129" t="s">
        <v>2303</v>
      </c>
      <c r="I129" t="s">
        <v>2272</v>
      </c>
    </row>
    <row r="130" spans="1:9">
      <c r="A130" s="12" t="s">
        <v>1796</v>
      </c>
      <c r="B130" s="7" t="str">
        <f>Tabelle14[[#This Row],[Dateiname]]</f>
        <v>schwimmbad</v>
      </c>
      <c r="C130" s="2" t="s">
        <v>2247</v>
      </c>
      <c r="D130" s="9" t="s">
        <v>2276</v>
      </c>
      <c r="E130" s="27"/>
      <c r="F130" t="s">
        <v>2277</v>
      </c>
      <c r="G130" t="s">
        <v>2304</v>
      </c>
      <c r="I130" t="s">
        <v>2293</v>
      </c>
    </row>
    <row r="131" spans="1:9">
      <c r="A131" s="12" t="s">
        <v>1175</v>
      </c>
      <c r="B131" s="7" t="str">
        <f>Tabelle14[[#This Row],[Dateiname]]</f>
        <v>teleskop</v>
      </c>
      <c r="C131" s="2" t="s">
        <v>2247</v>
      </c>
      <c r="D131" s="9" t="s">
        <v>2258</v>
      </c>
      <c r="E131" s="27"/>
      <c r="F131" t="s">
        <v>2286</v>
      </c>
      <c r="G131" t="s">
        <v>2305</v>
      </c>
      <c r="I131" t="s">
        <v>2294</v>
      </c>
    </row>
    <row r="132" spans="1:9">
      <c r="A132" s="12" t="s">
        <v>48</v>
      </c>
      <c r="B132" s="7" t="str">
        <f>Tabelle14[[#This Row],[Dateiname]]</f>
        <v>ueberschwemmung</v>
      </c>
      <c r="C132" s="2" t="s">
        <v>2247</v>
      </c>
      <c r="D132" s="9" t="s">
        <v>2259</v>
      </c>
      <c r="E132" s="27"/>
      <c r="F132" t="s">
        <v>2291</v>
      </c>
      <c r="G132" t="s">
        <v>2306</v>
      </c>
      <c r="I132" t="s">
        <v>2295</v>
      </c>
    </row>
    <row r="133" spans="1:9">
      <c r="A133" s="12" t="s">
        <v>2260</v>
      </c>
      <c r="B133" s="7" t="str">
        <f>Tabelle14[[#This Row],[Dateiname]]</f>
        <v>punkte</v>
      </c>
      <c r="C133" s="2" t="s">
        <v>2247</v>
      </c>
      <c r="D133" s="9" t="s">
        <v>2261</v>
      </c>
      <c r="E133" s="27"/>
      <c r="F133" t="s">
        <v>2287</v>
      </c>
      <c r="G133" t="s">
        <v>2307</v>
      </c>
      <c r="I133" t="s">
        <v>2296</v>
      </c>
    </row>
    <row r="134" spans="1:9">
      <c r="A134" s="12" t="s">
        <v>2262</v>
      </c>
      <c r="B134" s="7" t="str">
        <f>Tabelle14[[#This Row],[Dateiname]]</f>
        <v>dalmatiner</v>
      </c>
      <c r="C134" s="2" t="s">
        <v>2247</v>
      </c>
      <c r="D134" s="9" t="s">
        <v>2263</v>
      </c>
      <c r="E134" s="27"/>
      <c r="F134" t="s">
        <v>2288</v>
      </c>
      <c r="G134" t="s">
        <v>2308</v>
      </c>
      <c r="I134" t="s">
        <v>2297</v>
      </c>
    </row>
    <row r="135" spans="1:9">
      <c r="A135" s="12" t="s">
        <v>2264</v>
      </c>
      <c r="B135" s="7" t="str">
        <f>Tabelle14[[#This Row],[Dateiname]]</f>
        <v>weinberg</v>
      </c>
      <c r="C135" s="2" t="s">
        <v>2247</v>
      </c>
      <c r="D135" s="9" t="s">
        <v>2265</v>
      </c>
      <c r="E135" s="27"/>
      <c r="F135" t="s">
        <v>2289</v>
      </c>
      <c r="G135" t="s">
        <v>2309</v>
      </c>
      <c r="I135" t="s">
        <v>2273</v>
      </c>
    </row>
    <row r="136" spans="1:9">
      <c r="A136" s="12" t="s">
        <v>1175</v>
      </c>
      <c r="B136" s="7" t="str">
        <f>Tabelle14[[#This Row],[Dateiname]]</f>
        <v>cockpit</v>
      </c>
      <c r="C136" s="2" t="s">
        <v>2247</v>
      </c>
      <c r="D136" s="9" t="s">
        <v>2266</v>
      </c>
      <c r="E136" s="27"/>
      <c r="F136" t="s">
        <v>2290</v>
      </c>
      <c r="G136" t="s">
        <v>2292</v>
      </c>
      <c r="I136" t="s">
        <v>2292</v>
      </c>
    </row>
    <row r="137" spans="1:9">
      <c r="A137" s="12" t="s">
        <v>2487</v>
      </c>
      <c r="B137" s="7" t="str">
        <f>Tabelle14[[#This Row],[Dateiname]]</f>
        <v>fingerabdruck</v>
      </c>
      <c r="C137" s="2" t="s">
        <v>2247</v>
      </c>
      <c r="D137" s="9" t="s">
        <v>2514</v>
      </c>
      <c r="E137" s="27"/>
      <c r="F137" t="s">
        <v>2512</v>
      </c>
      <c r="G137" t="s">
        <v>2513</v>
      </c>
      <c r="I137" t="s">
        <v>2512</v>
      </c>
    </row>
    <row r="138" spans="1:9">
      <c r="A138" s="12" t="s">
        <v>2487</v>
      </c>
      <c r="B138" s="7" t="str">
        <f>Tabelle14[[#This Row],[Dateiname]]</f>
        <v>birne</v>
      </c>
      <c r="C138" s="2" t="s">
        <v>2247</v>
      </c>
      <c r="D138" s="9" t="s">
        <v>2511</v>
      </c>
      <c r="E138" s="27"/>
      <c r="F138" t="s">
        <v>2509</v>
      </c>
      <c r="G138" t="s">
        <v>2510</v>
      </c>
      <c r="I138" t="s">
        <v>2509</v>
      </c>
    </row>
    <row r="139" spans="1:9">
      <c r="A139" s="12" t="s">
        <v>2487</v>
      </c>
      <c r="B139" s="7" t="str">
        <f>Tabelle14[[#This Row],[Dateiname]]</f>
        <v>hirsch</v>
      </c>
      <c r="C139" s="2" t="s">
        <v>2247</v>
      </c>
      <c r="D139" s="9" t="s">
        <v>2508</v>
      </c>
      <c r="E139" s="27"/>
      <c r="F139" t="s">
        <v>2506</v>
      </c>
      <c r="G139" t="s">
        <v>2507</v>
      </c>
      <c r="I139" t="s">
        <v>2506</v>
      </c>
    </row>
    <row r="140" spans="1:9">
      <c r="A140" s="12" t="s">
        <v>1811</v>
      </c>
      <c r="B140" s="7" t="str">
        <f>Tabelle14[[#This Row],[Dateiname]]</f>
        <v>villa</v>
      </c>
      <c r="C140" s="2" t="s">
        <v>2247</v>
      </c>
      <c r="D140" s="9" t="s">
        <v>2505</v>
      </c>
      <c r="E140" s="27"/>
      <c r="F140" t="s">
        <v>2504</v>
      </c>
      <c r="G140" t="s">
        <v>2504</v>
      </c>
      <c r="I140" t="s">
        <v>2504</v>
      </c>
    </row>
    <row r="141" spans="1:9">
      <c r="A141" s="12" t="s">
        <v>1175</v>
      </c>
      <c r="B141" s="7" t="str">
        <f>Tabelle14[[#This Row],[Dateiname]]</f>
        <v>mandarine</v>
      </c>
      <c r="C141" s="2" t="s">
        <v>2247</v>
      </c>
      <c r="D141" s="9" t="s">
        <v>2503</v>
      </c>
      <c r="E141" s="27"/>
      <c r="F141" t="s">
        <v>2501</v>
      </c>
      <c r="G141" t="s">
        <v>2502</v>
      </c>
      <c r="I141" t="s">
        <v>2501</v>
      </c>
    </row>
    <row r="142" spans="1:9">
      <c r="A142" s="12" t="s">
        <v>2500</v>
      </c>
      <c r="B142" s="7" t="str">
        <f>Tabelle14[[#This Row],[Dateiname]]</f>
        <v>marktplatz</v>
      </c>
      <c r="C142" s="2" t="s">
        <v>2247</v>
      </c>
      <c r="D142" s="9" t="s">
        <v>2499</v>
      </c>
      <c r="E142" s="27"/>
      <c r="F142" t="s">
        <v>2497</v>
      </c>
      <c r="G142" t="s">
        <v>2498</v>
      </c>
      <c r="I142" t="s">
        <v>2497</v>
      </c>
    </row>
    <row r="143" spans="1:9">
      <c r="A143" s="12" t="s">
        <v>1811</v>
      </c>
      <c r="B143" s="7" t="str">
        <f>Tabelle14[[#This Row],[Dateiname]]</f>
        <v>hexe</v>
      </c>
      <c r="C143" s="2" t="s">
        <v>2247</v>
      </c>
      <c r="D143" s="9" t="s">
        <v>2496</v>
      </c>
      <c r="E143" s="27"/>
      <c r="F143" t="s">
        <v>2494</v>
      </c>
      <c r="G143" t="s">
        <v>2495</v>
      </c>
      <c r="I143" t="s">
        <v>2494</v>
      </c>
    </row>
    <row r="144" spans="1:9">
      <c r="A144" s="12" t="s">
        <v>2487</v>
      </c>
      <c r="B144" s="7" t="str">
        <f>Tabelle14[[#This Row],[Dateiname]]</f>
        <v>krawatte</v>
      </c>
      <c r="C144" s="2" t="s">
        <v>2247</v>
      </c>
      <c r="D144" s="9" t="s">
        <v>2493</v>
      </c>
      <c r="E144" s="27"/>
      <c r="F144" t="s">
        <v>2491</v>
      </c>
      <c r="G144" t="s">
        <v>2492</v>
      </c>
      <c r="I144" t="s">
        <v>2491</v>
      </c>
    </row>
    <row r="145" spans="1:9">
      <c r="A145" s="12" t="s">
        <v>1585</v>
      </c>
      <c r="B145" s="7" t="str">
        <f>Tabelle14[[#This Row],[Dateiname]]</f>
        <v>tshirt</v>
      </c>
      <c r="C145" s="2" t="s">
        <v>2247</v>
      </c>
      <c r="D145" s="9" t="s">
        <v>2490</v>
      </c>
      <c r="E145" s="27"/>
      <c r="F145" t="s">
        <v>725</v>
      </c>
      <c r="G145" t="s">
        <v>725</v>
      </c>
      <c r="I145" t="s">
        <v>725</v>
      </c>
    </row>
    <row r="146" spans="1:9">
      <c r="A146" s="12" t="s">
        <v>2489</v>
      </c>
      <c r="B146" s="7" t="str">
        <f>Tabelle14[[#This Row],[Dateiname]]</f>
        <v>scheinwerfer</v>
      </c>
      <c r="C146" s="2" t="s">
        <v>2247</v>
      </c>
      <c r="D146" s="9" t="s">
        <v>2488</v>
      </c>
      <c r="E146" s="27"/>
      <c r="F146" t="s">
        <v>898</v>
      </c>
      <c r="G146" t="s">
        <v>897</v>
      </c>
      <c r="I146" t="s">
        <v>898</v>
      </c>
    </row>
    <row r="147" spans="1:9">
      <c r="A147" s="12" t="s">
        <v>2487</v>
      </c>
      <c r="B147" s="7" t="str">
        <f>Tabelle14[[#This Row],[Dateiname]]</f>
        <v>rolltreppe</v>
      </c>
      <c r="C147" s="2" t="s">
        <v>2247</v>
      </c>
      <c r="D147" s="9" t="s">
        <v>2486</v>
      </c>
      <c r="E147" s="27"/>
      <c r="F147" t="s">
        <v>2484</v>
      </c>
      <c r="G147" t="s">
        <v>2485</v>
      </c>
      <c r="I147" t="s">
        <v>2484</v>
      </c>
    </row>
    <row r="148" spans="1:9">
      <c r="A148" s="12" t="s">
        <v>2483</v>
      </c>
      <c r="B148" s="7" t="str">
        <f>Tabelle14[[#This Row],[Dateiname]]</f>
        <v>strommast</v>
      </c>
      <c r="C148" s="2" t="s">
        <v>2247</v>
      </c>
      <c r="D148" s="9" t="s">
        <v>2482</v>
      </c>
      <c r="E148" s="27"/>
      <c r="F148" t="s">
        <v>2480</v>
      </c>
      <c r="G148" t="s">
        <v>2481</v>
      </c>
      <c r="I148" t="s">
        <v>2480</v>
      </c>
    </row>
    <row r="149" spans="1:9">
      <c r="A149" s="12" t="s">
        <v>19</v>
      </c>
      <c r="B149" s="7" t="str">
        <f>Tabelle14[[#This Row],[Dateiname]]</f>
        <v>platine</v>
      </c>
      <c r="C149" s="2" t="s">
        <v>2247</v>
      </c>
      <c r="D149" s="9" t="s">
        <v>2479</v>
      </c>
      <c r="E149" s="27"/>
      <c r="F149" t="s">
        <v>2477</v>
      </c>
      <c r="G149" t="s">
        <v>2478</v>
      </c>
      <c r="I149" t="s">
        <v>2477</v>
      </c>
    </row>
    <row r="150" spans="1:9">
      <c r="A150" s="12" t="s">
        <v>1585</v>
      </c>
      <c r="B150" s="7" t="str">
        <f>Tabelle14[[#This Row],[Dateiname]]</f>
        <v>gabelstapler</v>
      </c>
      <c r="C150" s="2" t="s">
        <v>2247</v>
      </c>
      <c r="D150" s="9" t="s">
        <v>2476</v>
      </c>
      <c r="E150" s="27"/>
      <c r="F150" t="s">
        <v>2474</v>
      </c>
      <c r="G150" t="s">
        <v>2475</v>
      </c>
      <c r="I150" t="s">
        <v>2474</v>
      </c>
    </row>
    <row r="151" spans="1:9">
      <c r="A151" s="12" t="s">
        <v>2473</v>
      </c>
      <c r="B151" s="7" t="str">
        <f>Tabelle14[[#This Row],[Dateiname]]</f>
        <v>schiffsschraube</v>
      </c>
      <c r="C151" s="2" t="s">
        <v>2247</v>
      </c>
      <c r="D151" s="9" t="s">
        <v>2472</v>
      </c>
      <c r="E151" s="27"/>
      <c r="F151" t="s">
        <v>2470</v>
      </c>
      <c r="G151" t="s">
        <v>2471</v>
      </c>
      <c r="I151" t="s">
        <v>2470</v>
      </c>
    </row>
    <row r="152" spans="1:9">
      <c r="A152" s="12" t="s">
        <v>1175</v>
      </c>
      <c r="B152" s="7" t="str">
        <f>Tabelle14[[#This Row],[Dateiname]]</f>
        <v>turbine</v>
      </c>
      <c r="C152" s="2" t="s">
        <v>2247</v>
      </c>
      <c r="D152" s="9" t="s">
        <v>2972</v>
      </c>
      <c r="E152" s="27"/>
      <c r="F152" t="s">
        <v>2971</v>
      </c>
      <c r="G152" t="s">
        <v>2970</v>
      </c>
      <c r="I152" t="s">
        <v>2970</v>
      </c>
    </row>
    <row r="153" spans="1:9">
      <c r="A153" s="12" t="s">
        <v>19</v>
      </c>
      <c r="B153" s="7" t="str">
        <f>Tabelle14[[#This Row],[Dateiname]]</f>
        <v>windrad</v>
      </c>
      <c r="C153" s="2" t="s">
        <v>2247</v>
      </c>
      <c r="D153" s="9" t="s">
        <v>2969</v>
      </c>
      <c r="E153" s="27"/>
      <c r="F153" t="s">
        <v>2968</v>
      </c>
      <c r="G153" t="s">
        <v>2967</v>
      </c>
      <c r="I153" t="s">
        <v>2966</v>
      </c>
    </row>
    <row r="154" spans="1:9">
      <c r="A154" s="12" t="s">
        <v>1811</v>
      </c>
      <c r="B154" s="7" t="str">
        <f>Tabelle14[[#This Row],[Dateiname]]</f>
        <v>energie</v>
      </c>
      <c r="C154" s="2" t="s">
        <v>2247</v>
      </c>
      <c r="D154" s="9" t="s">
        <v>2965</v>
      </c>
      <c r="E154" s="27"/>
      <c r="F154" t="s">
        <v>2964</v>
      </c>
      <c r="G154" t="s">
        <v>2963</v>
      </c>
      <c r="I154" t="s">
        <v>2962</v>
      </c>
    </row>
    <row r="155" spans="1:9">
      <c r="A155" s="12" t="s">
        <v>1585</v>
      </c>
      <c r="B155" s="7" t="str">
        <f>Tabelle14[[#This Row],[Dateiname]]</f>
        <v>raffinerie</v>
      </c>
      <c r="C155" s="2" t="s">
        <v>2247</v>
      </c>
      <c r="D155" s="9" t="s">
        <v>2961</v>
      </c>
      <c r="E155" s="27"/>
      <c r="F155" t="s">
        <v>2960</v>
      </c>
      <c r="G155" t="s">
        <v>2959</v>
      </c>
      <c r="I155" t="s">
        <v>2958</v>
      </c>
    </row>
    <row r="156" spans="1:9">
      <c r="A156" s="12" t="s">
        <v>1585</v>
      </c>
      <c r="B156" s="7" t="str">
        <f>Tabelle14[[#This Row],[Dateiname]]</f>
        <v>bohrinsel</v>
      </c>
      <c r="C156" s="2" t="s">
        <v>2247</v>
      </c>
      <c r="D156" s="9" t="s">
        <v>2957</v>
      </c>
      <c r="E156" s="27"/>
      <c r="F156" t="s">
        <v>2955</v>
      </c>
      <c r="G156" t="s">
        <v>2956</v>
      </c>
      <c r="I156" t="s">
        <v>2955</v>
      </c>
    </row>
    <row r="157" spans="1:9">
      <c r="A157" s="12" t="s">
        <v>2954</v>
      </c>
      <c r="B157" s="7" t="str">
        <f>Tabelle14[[#This Row],[Dateiname]]</f>
        <v>laser</v>
      </c>
      <c r="C157" s="2" t="s">
        <v>2247</v>
      </c>
      <c r="D157" s="9" t="s">
        <v>2953</v>
      </c>
      <c r="E157" s="27"/>
      <c r="F157" t="s">
        <v>2952</v>
      </c>
      <c r="G157" t="s">
        <v>2951</v>
      </c>
      <c r="I157" t="s">
        <v>2951</v>
      </c>
    </row>
    <row r="158" spans="1:9">
      <c r="A158" s="12" t="s">
        <v>865</v>
      </c>
      <c r="B158" s="7" t="str">
        <f>Tabelle14[[#This Row],[Dateiname]]</f>
        <v>wolf</v>
      </c>
      <c r="C158" s="2" t="s">
        <v>2247</v>
      </c>
      <c r="D158" s="9" t="s">
        <v>2950</v>
      </c>
      <c r="E158" s="27"/>
      <c r="F158" t="s">
        <v>2949</v>
      </c>
      <c r="G158" t="s">
        <v>2948</v>
      </c>
      <c r="I158" t="s">
        <v>2948</v>
      </c>
    </row>
    <row r="159" spans="1:9">
      <c r="A159" s="12" t="s">
        <v>1175</v>
      </c>
      <c r="B159" s="7" t="str">
        <f>Tabelle14[[#This Row],[Dateiname]]</f>
        <v>tannenzapfen</v>
      </c>
      <c r="C159" s="2" t="s">
        <v>2247</v>
      </c>
      <c r="D159" s="9" t="s">
        <v>2947</v>
      </c>
      <c r="E159" s="27"/>
      <c r="F159" t="s">
        <v>2946</v>
      </c>
      <c r="G159" t="s">
        <v>2945</v>
      </c>
      <c r="I159" t="s">
        <v>2944</v>
      </c>
    </row>
    <row r="160" spans="1:9">
      <c r="A160" s="12" t="s">
        <v>865</v>
      </c>
      <c r="B160" s="7" t="str">
        <f>Tabelle14[[#This Row],[Dateiname]]</f>
        <v>pentagon</v>
      </c>
      <c r="C160" s="2" t="s">
        <v>2247</v>
      </c>
      <c r="D160" s="9" t="s">
        <v>2943</v>
      </c>
      <c r="E160" s="27"/>
      <c r="F160" t="s">
        <v>2942</v>
      </c>
      <c r="G160" t="s">
        <v>2941</v>
      </c>
      <c r="I160" t="s">
        <v>2941</v>
      </c>
    </row>
    <row r="161" spans="1:9">
      <c r="A161" s="12" t="s">
        <v>2940</v>
      </c>
      <c r="B161" s="7" t="str">
        <f>Tabelle14[[#This Row],[Dateiname]]</f>
        <v>seifenblase</v>
      </c>
      <c r="C161" s="2" t="s">
        <v>2247</v>
      </c>
      <c r="D161" s="9" t="s">
        <v>2939</v>
      </c>
      <c r="E161" s="27"/>
      <c r="F161" t="s">
        <v>2937</v>
      </c>
      <c r="G161" t="s">
        <v>2938</v>
      </c>
      <c r="I161" t="s">
        <v>2937</v>
      </c>
    </row>
    <row r="162" spans="1:9">
      <c r="A162" s="12" t="s">
        <v>1811</v>
      </c>
      <c r="B162" s="7" t="str">
        <f>Tabelle14[[#This Row],[Dateiname]]</f>
        <v>koffer</v>
      </c>
      <c r="C162" s="2" t="s">
        <v>2247</v>
      </c>
      <c r="D162" s="9" t="s">
        <v>2936</v>
      </c>
      <c r="E162" s="27"/>
      <c r="F162" t="s">
        <v>2934</v>
      </c>
      <c r="G162" t="s">
        <v>2935</v>
      </c>
      <c r="I162" t="s">
        <v>2934</v>
      </c>
    </row>
    <row r="163" spans="1:9">
      <c r="A163" s="12" t="s">
        <v>2933</v>
      </c>
      <c r="B163" s="7" t="str">
        <f>Tabelle14[[#This Row],[Dateiname]]</f>
        <v>eule</v>
      </c>
      <c r="C163" s="2" t="s">
        <v>2247</v>
      </c>
      <c r="D163" s="9" t="s">
        <v>2932</v>
      </c>
      <c r="E163" s="27"/>
      <c r="F163" t="s">
        <v>1056</v>
      </c>
      <c r="G163" t="s">
        <v>1055</v>
      </c>
      <c r="I163" t="s">
        <v>1056</v>
      </c>
    </row>
    <row r="164" spans="1:9">
      <c r="A164" s="12" t="s">
        <v>19</v>
      </c>
      <c r="B164" s="7" t="str">
        <f>Tabelle14[[#This Row],[Dateiname]]</f>
        <v>maerchen</v>
      </c>
      <c r="C164" s="2" t="s">
        <v>2247</v>
      </c>
      <c r="D164" s="9" t="s">
        <v>2931</v>
      </c>
      <c r="E164" s="27"/>
      <c r="F164" t="s">
        <v>2930</v>
      </c>
      <c r="G164" t="s">
        <v>2929</v>
      </c>
      <c r="I164" t="s">
        <v>2928</v>
      </c>
    </row>
    <row r="165" spans="1:9">
      <c r="A165" s="12" t="s">
        <v>1811</v>
      </c>
      <c r="B165" s="7" t="str">
        <f>Tabelle14[[#This Row],[Dateiname]]</f>
        <v>labyrinth</v>
      </c>
      <c r="C165" s="2" t="s">
        <v>2247</v>
      </c>
      <c r="D165" s="9" t="s">
        <v>2927</v>
      </c>
      <c r="E165" s="27"/>
      <c r="F165" t="s">
        <v>2926</v>
      </c>
      <c r="G165" t="s">
        <v>2926</v>
      </c>
      <c r="I165" t="s">
        <v>2926</v>
      </c>
    </row>
    <row r="166" spans="1:9">
      <c r="A166" s="12" t="s">
        <v>1585</v>
      </c>
      <c r="B166" s="7" t="str">
        <f>Tabelle14[[#This Row],[Dateiname]]</f>
        <v>becher</v>
      </c>
      <c r="C166" s="2" t="s">
        <v>2247</v>
      </c>
      <c r="D166" s="9" t="s">
        <v>2925</v>
      </c>
      <c r="E166" s="27"/>
      <c r="F166" t="s">
        <v>2924</v>
      </c>
      <c r="G166" t="s">
        <v>2817</v>
      </c>
      <c r="I166" t="s">
        <v>2924</v>
      </c>
    </row>
    <row r="167" spans="1:9">
      <c r="A167" s="12" t="s">
        <v>2923</v>
      </c>
      <c r="B167" s="7" t="str">
        <f>Tabelle14[[#This Row],[Dateiname]]</f>
        <v>glas</v>
      </c>
      <c r="C167" s="2" t="s">
        <v>2247</v>
      </c>
      <c r="D167" s="9" t="s">
        <v>2922</v>
      </c>
      <c r="E167" s="27"/>
      <c r="F167" t="s">
        <v>2920</v>
      </c>
      <c r="G167" t="s">
        <v>2921</v>
      </c>
      <c r="I167" t="s">
        <v>2920</v>
      </c>
    </row>
    <row r="168" spans="1:9">
      <c r="A168" s="12" t="s">
        <v>2919</v>
      </c>
      <c r="B168" s="7" t="str">
        <f>Tabelle14[[#This Row],[Dateiname]]</f>
        <v>information</v>
      </c>
      <c r="C168" s="2" t="s">
        <v>2247</v>
      </c>
      <c r="D168" s="9" t="s">
        <v>2918</v>
      </c>
      <c r="E168" s="27"/>
      <c r="F168" t="s">
        <v>2917</v>
      </c>
      <c r="G168" t="s">
        <v>2917</v>
      </c>
      <c r="I168" t="s">
        <v>2917</v>
      </c>
    </row>
    <row r="169" spans="1:9">
      <c r="A169" s="12" t="s">
        <v>1811</v>
      </c>
      <c r="B169" s="7" t="str">
        <f>Tabelle14[[#This Row],[Dateiname]]</f>
        <v>ventilator</v>
      </c>
      <c r="C169" s="2" t="s">
        <v>2247</v>
      </c>
      <c r="D169" s="9" t="s">
        <v>2916</v>
      </c>
      <c r="E169" s="27"/>
      <c r="F169" t="s">
        <v>2915</v>
      </c>
      <c r="G169" t="s">
        <v>2915</v>
      </c>
      <c r="I169" t="s">
        <v>2915</v>
      </c>
    </row>
    <row r="170" spans="1:9">
      <c r="A170" s="12" t="s">
        <v>2914</v>
      </c>
      <c r="B170" s="7" t="str">
        <f>Tabelle14[[#This Row],[Dateiname]]</f>
        <v>ohrringe</v>
      </c>
      <c r="C170" s="2" t="s">
        <v>2247</v>
      </c>
      <c r="D170" s="9" t="s">
        <v>2913</v>
      </c>
      <c r="E170" s="27"/>
      <c r="F170" t="s">
        <v>2911</v>
      </c>
      <c r="G170" t="s">
        <v>2912</v>
      </c>
      <c r="I170" t="s">
        <v>2911</v>
      </c>
    </row>
    <row r="171" spans="1:9">
      <c r="A171" s="12" t="s">
        <v>2910</v>
      </c>
      <c r="B171" s="7" t="str">
        <f>Tabelle14[[#This Row],[Dateiname]]</f>
        <v>mosaik</v>
      </c>
      <c r="C171" s="2" t="s">
        <v>2247</v>
      </c>
      <c r="D171" s="9" t="s">
        <v>2909</v>
      </c>
      <c r="E171" s="27"/>
      <c r="F171" t="s">
        <v>2908</v>
      </c>
      <c r="G171" t="s">
        <v>2907</v>
      </c>
      <c r="I171" t="s">
        <v>2906</v>
      </c>
    </row>
    <row r="172" spans="1:9">
      <c r="A172" s="12" t="s">
        <v>2905</v>
      </c>
      <c r="B172" s="7" t="str">
        <f>Tabelle14[[#This Row],[Dateiname]]</f>
        <v>schleife</v>
      </c>
      <c r="C172" s="2" t="s">
        <v>2247</v>
      </c>
      <c r="D172" s="9" t="s">
        <v>2904</v>
      </c>
      <c r="E172" s="27"/>
      <c r="F172" t="s">
        <v>2902</v>
      </c>
      <c r="G172" t="s">
        <v>2903</v>
      </c>
      <c r="I172" t="s">
        <v>2902</v>
      </c>
    </row>
    <row r="173" spans="1:9">
      <c r="A173" s="12" t="s">
        <v>2901</v>
      </c>
      <c r="B173" s="7" t="str">
        <f>Tabelle14[[#This Row],[Dateiname]]</f>
        <v>beamer</v>
      </c>
      <c r="C173" s="2" t="s">
        <v>2247</v>
      </c>
      <c r="D173" s="9" t="s">
        <v>2900</v>
      </c>
      <c r="E173" s="27"/>
      <c r="F173" t="s">
        <v>2898</v>
      </c>
      <c r="G173" t="s">
        <v>2899</v>
      </c>
      <c r="I173" t="s">
        <v>2898</v>
      </c>
    </row>
    <row r="174" spans="1:9">
      <c r="A174" s="12" t="s">
        <v>1585</v>
      </c>
      <c r="B174" s="7" t="str">
        <f>Tabelle14[[#This Row],[Dateiname]]</f>
        <v>ohr</v>
      </c>
      <c r="C174" s="2" t="s">
        <v>2247</v>
      </c>
      <c r="D174" s="9" t="s">
        <v>2897</v>
      </c>
      <c r="E174" s="27"/>
      <c r="F174" t="s">
        <v>2895</v>
      </c>
      <c r="G174" t="s">
        <v>2896</v>
      </c>
      <c r="I174" t="s">
        <v>2895</v>
      </c>
    </row>
    <row r="175" spans="1:9">
      <c r="A175" s="12" t="s">
        <v>2894</v>
      </c>
      <c r="B175" s="7" t="str">
        <f>Tabelle14[[#This Row],[Dateiname]]</f>
        <v>nagellack</v>
      </c>
      <c r="C175" s="2" t="s">
        <v>2247</v>
      </c>
      <c r="D175" s="9" t="s">
        <v>2893</v>
      </c>
      <c r="E175" s="27"/>
      <c r="F175" t="s">
        <v>2891</v>
      </c>
      <c r="G175" t="s">
        <v>2892</v>
      </c>
      <c r="I175" t="s">
        <v>2891</v>
      </c>
    </row>
    <row r="176" spans="1:9">
      <c r="A176" s="12" t="s">
        <v>1585</v>
      </c>
      <c r="B176" s="7" t="str">
        <f>Tabelle14[[#This Row],[Dateiname]]</f>
        <v>rad</v>
      </c>
      <c r="C176" s="2" t="s">
        <v>2247</v>
      </c>
      <c r="D176" s="9" t="s">
        <v>2890</v>
      </c>
      <c r="E176" s="27"/>
      <c r="F176" t="s">
        <v>2888</v>
      </c>
      <c r="G176" t="s">
        <v>2889</v>
      </c>
      <c r="I176" t="s">
        <v>2888</v>
      </c>
    </row>
    <row r="177" spans="1:12">
      <c r="A177" s="12" t="s">
        <v>942</v>
      </c>
      <c r="B177" s="7" t="str">
        <f>Tabelle14[[#This Row],[Dateiname]]</f>
        <v>strohballen</v>
      </c>
      <c r="C177" s="2" t="s">
        <v>2247</v>
      </c>
      <c r="D177" s="9" t="s">
        <v>2887</v>
      </c>
      <c r="E177" s="27"/>
      <c r="F177" t="s">
        <v>2885</v>
      </c>
      <c r="G177" t="s">
        <v>2886</v>
      </c>
      <c r="I177" t="s">
        <v>2885</v>
      </c>
    </row>
    <row r="178" spans="1:12">
      <c r="A178" s="12" t="s">
        <v>1811</v>
      </c>
      <c r="B178" s="7" t="str">
        <f>Tabelle14[[#This Row],[Dateiname]]</f>
        <v>teufel</v>
      </c>
      <c r="C178" s="2" t="s">
        <v>2247</v>
      </c>
      <c r="D178" s="9" t="s">
        <v>2884</v>
      </c>
      <c r="E178" s="27"/>
      <c r="F178" t="s">
        <v>2882</v>
      </c>
      <c r="G178" t="s">
        <v>2883</v>
      </c>
      <c r="I178" t="s">
        <v>2882</v>
      </c>
    </row>
    <row r="179" spans="1:12">
      <c r="A179" s="12" t="s">
        <v>1811</v>
      </c>
      <c r="B179" s="7" t="str">
        <f>Tabelle14[[#This Row],[Dateiname]]</f>
        <v>zuender</v>
      </c>
      <c r="C179" s="2" t="s">
        <v>2247</v>
      </c>
      <c r="D179" s="9" t="s">
        <v>2881</v>
      </c>
      <c r="E179" s="27"/>
      <c r="F179" t="s">
        <v>2880</v>
      </c>
      <c r="G179" t="s">
        <v>2879</v>
      </c>
      <c r="I179" t="s">
        <v>2878</v>
      </c>
    </row>
    <row r="180" spans="1:12">
      <c r="A180" s="12" t="s">
        <v>2843</v>
      </c>
      <c r="B180" s="7" t="str">
        <f>Tabelle14[[#This Row],[Dateiname]]</f>
        <v>fernbedienung</v>
      </c>
      <c r="C180" s="2" t="s">
        <v>2247</v>
      </c>
      <c r="D180" s="9" t="s">
        <v>2877</v>
      </c>
      <c r="E180" s="27"/>
      <c r="F180" t="s">
        <v>2875</v>
      </c>
      <c r="G180" t="s">
        <v>2876</v>
      </c>
      <c r="I180" t="s">
        <v>2875</v>
      </c>
    </row>
    <row r="181" spans="1:12">
      <c r="A181" s="12" t="s">
        <v>2487</v>
      </c>
      <c r="B181" s="7" t="str">
        <f>Tabelle14[[#This Row],[Dateiname]]</f>
        <v>klettern</v>
      </c>
      <c r="C181" s="2" t="s">
        <v>2247</v>
      </c>
      <c r="D181" s="9" t="s">
        <v>2874</v>
      </c>
      <c r="E181" s="27"/>
      <c r="F181" t="s">
        <v>2872</v>
      </c>
      <c r="G181" t="s">
        <v>2873</v>
      </c>
      <c r="I181" t="s">
        <v>2872</v>
      </c>
    </row>
    <row r="182" spans="1:12">
      <c r="A182" s="12" t="s">
        <v>2871</v>
      </c>
      <c r="B182" s="7" t="str">
        <f>Tabelle14[[#This Row],[Dateiname]]</f>
        <v>halskette</v>
      </c>
      <c r="C182" s="2" t="s">
        <v>2247</v>
      </c>
      <c r="D182" s="9" t="s">
        <v>2870</v>
      </c>
      <c r="E182" s="27"/>
      <c r="F182" t="s">
        <v>2868</v>
      </c>
      <c r="G182" t="s">
        <v>2869</v>
      </c>
      <c r="I182" t="s">
        <v>2868</v>
      </c>
    </row>
    <row r="183" spans="1:12">
      <c r="A183" s="12" t="s">
        <v>1175</v>
      </c>
      <c r="B183" s="7" t="str">
        <f>Tabelle14[[#This Row],[Dateiname]]</f>
        <v>armband</v>
      </c>
      <c r="C183" s="2" t="s">
        <v>2247</v>
      </c>
      <c r="D183" s="9" t="s">
        <v>2867</v>
      </c>
      <c r="E183" s="27"/>
      <c r="F183" t="s">
        <v>2865</v>
      </c>
      <c r="G183" t="s">
        <v>2866</v>
      </c>
      <c r="I183" t="s">
        <v>2865</v>
      </c>
    </row>
    <row r="184" spans="1:12">
      <c r="A184" s="12" t="s">
        <v>2864</v>
      </c>
      <c r="B184" s="7" t="str">
        <f>Tabelle14[[#This Row],[Dateiname]]</f>
        <v>anhaenger</v>
      </c>
      <c r="C184" s="2" t="s">
        <v>2247</v>
      </c>
      <c r="D184" s="9" t="s">
        <v>2863</v>
      </c>
      <c r="E184" s="27"/>
      <c r="F184" t="s">
        <v>2973</v>
      </c>
      <c r="G184" s="53" t="s">
        <v>1070</v>
      </c>
      <c r="I184" t="s">
        <v>2974</v>
      </c>
      <c r="L184" t="s">
        <v>664</v>
      </c>
    </row>
    <row r="185" spans="1:12">
      <c r="A185" s="12" t="s">
        <v>2862</v>
      </c>
      <c r="B185" s="7" t="str">
        <f>Tabelle14[[#This Row],[Dateiname]]</f>
        <v>naehmaschine</v>
      </c>
      <c r="C185" s="2" t="s">
        <v>2247</v>
      </c>
      <c r="D185" s="9" t="s">
        <v>2861</v>
      </c>
      <c r="E185" s="27"/>
      <c r="F185" t="s">
        <v>2860</v>
      </c>
      <c r="G185" t="s">
        <v>2859</v>
      </c>
      <c r="I185" t="s">
        <v>2858</v>
      </c>
    </row>
    <row r="186" spans="1:12">
      <c r="A186" s="12" t="s">
        <v>1175</v>
      </c>
      <c r="B186" s="7" t="str">
        <f>Tabelle14[[#This Row],[Dateiname]]</f>
        <v>fahrradlenker</v>
      </c>
      <c r="C186" s="2" t="s">
        <v>2247</v>
      </c>
      <c r="D186" s="9" t="s">
        <v>2857</v>
      </c>
      <c r="E186" s="27"/>
      <c r="F186" t="s">
        <v>2856</v>
      </c>
      <c r="G186" t="s">
        <v>2855</v>
      </c>
      <c r="I186" t="s">
        <v>2854</v>
      </c>
      <c r="L186" t="s">
        <v>2853</v>
      </c>
    </row>
    <row r="187" spans="1:12">
      <c r="A187" s="12" t="s">
        <v>1175</v>
      </c>
      <c r="B187" s="7" t="str">
        <f>Tabelle14[[#This Row],[Dateiname]]</f>
        <v>fahrradklingel</v>
      </c>
      <c r="C187" s="2" t="s">
        <v>2247</v>
      </c>
      <c r="D187" s="9" t="s">
        <v>2852</v>
      </c>
      <c r="E187" s="27"/>
      <c r="F187" t="s">
        <v>2850</v>
      </c>
      <c r="G187" t="s">
        <v>2851</v>
      </c>
      <c r="I187" t="s">
        <v>2850</v>
      </c>
    </row>
    <row r="188" spans="1:12">
      <c r="A188" s="12" t="s">
        <v>1811</v>
      </c>
      <c r="B188" s="7" t="str">
        <f>Tabelle14[[#This Row],[Dateiname]]</f>
        <v>glocke</v>
      </c>
      <c r="C188" s="2" t="s">
        <v>2247</v>
      </c>
      <c r="D188" s="9" t="s">
        <v>2849</v>
      </c>
      <c r="E188" s="27"/>
      <c r="F188" t="s">
        <v>2847</v>
      </c>
      <c r="G188" t="s">
        <v>2848</v>
      </c>
      <c r="I188" t="s">
        <v>2847</v>
      </c>
    </row>
    <row r="189" spans="1:12">
      <c r="A189" s="12" t="s">
        <v>2846</v>
      </c>
      <c r="B189" s="7" t="str">
        <f>Tabelle14[[#This Row],[Dateiname]]</f>
        <v>bar</v>
      </c>
      <c r="C189" s="2" t="s">
        <v>2247</v>
      </c>
      <c r="D189" s="9" t="s">
        <v>2845</v>
      </c>
      <c r="E189" s="27"/>
      <c r="F189" t="s">
        <v>2844</v>
      </c>
      <c r="G189" t="s">
        <v>2844</v>
      </c>
      <c r="I189" t="s">
        <v>2844</v>
      </c>
    </row>
    <row r="190" spans="1:12">
      <c r="A190" s="12" t="s">
        <v>2843</v>
      </c>
      <c r="B190" s="7" t="str">
        <f>Tabelle14[[#This Row],[Dateiname]]</f>
        <v>stacheldraht</v>
      </c>
      <c r="C190" s="2" t="s">
        <v>2247</v>
      </c>
      <c r="D190" s="9" t="s">
        <v>2842</v>
      </c>
      <c r="E190" s="27"/>
      <c r="F190" t="s">
        <v>2839</v>
      </c>
      <c r="G190" t="s">
        <v>2841</v>
      </c>
      <c r="H190" t="s">
        <v>2840</v>
      </c>
      <c r="I190" t="s">
        <v>2839</v>
      </c>
    </row>
    <row r="191" spans="1:12">
      <c r="A191" s="12" t="s">
        <v>1585</v>
      </c>
      <c r="B191" s="7" t="str">
        <f>Tabelle14[[#This Row],[Dateiname]]</f>
        <v>handschellen</v>
      </c>
      <c r="C191" s="2" t="s">
        <v>2247</v>
      </c>
      <c r="D191" s="9" t="s">
        <v>2838</v>
      </c>
      <c r="E191" s="27"/>
      <c r="F191" t="s">
        <v>2836</v>
      </c>
      <c r="G191" t="s">
        <v>2837</v>
      </c>
      <c r="I191" t="s">
        <v>2836</v>
      </c>
    </row>
    <row r="192" spans="1:12">
      <c r="A192" s="12" t="s">
        <v>1179</v>
      </c>
      <c r="B192" s="7" t="str">
        <f>Tabelle14[[#This Row],[Dateiname]]</f>
        <v>gefaengnis</v>
      </c>
      <c r="C192" s="2" t="s">
        <v>2247</v>
      </c>
      <c r="D192" s="9" t="s">
        <v>2835</v>
      </c>
      <c r="E192" s="27"/>
      <c r="F192" t="s">
        <v>2834</v>
      </c>
      <c r="G192" t="s">
        <v>2833</v>
      </c>
      <c r="I192" t="s">
        <v>1183</v>
      </c>
    </row>
    <row r="193" spans="1:12">
      <c r="A193" s="12" t="s">
        <v>1811</v>
      </c>
      <c r="B193" s="7" t="str">
        <f>Tabelle14[[#This Row],[Dateiname]]</f>
        <v>hochspannung</v>
      </c>
      <c r="C193" s="2" t="s">
        <v>2247</v>
      </c>
      <c r="D193" s="9" t="s">
        <v>2832</v>
      </c>
      <c r="E193" s="27"/>
      <c r="F193" t="s">
        <v>2830</v>
      </c>
      <c r="G193" t="s">
        <v>2831</v>
      </c>
      <c r="I193" t="s">
        <v>2830</v>
      </c>
    </row>
    <row r="194" spans="1:12">
      <c r="A194" s="12" t="s">
        <v>1811</v>
      </c>
      <c r="B194" s="7" t="str">
        <f>Tabelle14[[#This Row],[Dateiname]]</f>
        <v>kristall</v>
      </c>
      <c r="C194" s="2" t="s">
        <v>2247</v>
      </c>
      <c r="D194" s="9" t="s">
        <v>2829</v>
      </c>
      <c r="E194" s="27"/>
      <c r="F194" t="s">
        <v>2827</v>
      </c>
      <c r="G194" t="s">
        <v>2828</v>
      </c>
      <c r="I194" t="s">
        <v>2827</v>
      </c>
    </row>
    <row r="195" spans="1:12">
      <c r="A195" s="12" t="s">
        <v>351</v>
      </c>
      <c r="B195" s="7" t="str">
        <f>Tabelle14[[#This Row],[Dateiname]]</f>
        <v>amethyst</v>
      </c>
      <c r="C195" s="2" t="s">
        <v>2247</v>
      </c>
      <c r="D195" s="9" t="s">
        <v>2826</v>
      </c>
      <c r="E195" s="27"/>
      <c r="F195" t="s">
        <v>2825</v>
      </c>
      <c r="G195" t="s">
        <v>2825</v>
      </c>
      <c r="I195" t="s">
        <v>2825</v>
      </c>
    </row>
    <row r="196" spans="1:12">
      <c r="A196" s="12" t="s">
        <v>1175</v>
      </c>
      <c r="B196" s="7" t="str">
        <f>Tabelle14[[#This Row],[Dateiname]]</f>
        <v>obsidian</v>
      </c>
      <c r="C196" s="2" t="s">
        <v>2247</v>
      </c>
      <c r="D196" s="9" t="s">
        <v>2824</v>
      </c>
      <c r="E196" s="27"/>
      <c r="F196" t="s">
        <v>2823</v>
      </c>
      <c r="G196" t="s">
        <v>2823</v>
      </c>
      <c r="I196" t="s">
        <v>2823</v>
      </c>
      <c r="K196" t="s">
        <v>2822</v>
      </c>
    </row>
    <row r="197" spans="1:12">
      <c r="A197" s="6" t="s">
        <v>6</v>
      </c>
      <c r="B197" s="7" t="str">
        <f>Tabelle14[[#This Row],[Dateiname]]</f>
        <v>prozess</v>
      </c>
      <c r="C197" s="2" t="s">
        <v>2247</v>
      </c>
      <c r="D197" s="9"/>
      <c r="E197" s="30"/>
      <c r="F197" t="s">
        <v>2982</v>
      </c>
      <c r="G197" t="s">
        <v>2983</v>
      </c>
      <c r="I197" t="s">
        <v>2982</v>
      </c>
    </row>
    <row r="198" spans="1:12">
      <c r="A198" s="99" t="s">
        <v>48</v>
      </c>
      <c r="B198" s="100" t="str">
        <f>Tabelle14[[#This Row],[Dateiname]]</f>
        <v>teppich</v>
      </c>
      <c r="C198" s="101" t="s">
        <v>2247</v>
      </c>
      <c r="D198" s="9" t="s">
        <v>2986</v>
      </c>
      <c r="E198" s="30"/>
      <c r="F198" s="54" t="s">
        <v>3181</v>
      </c>
      <c r="G198" s="54" t="s">
        <v>3182</v>
      </c>
      <c r="H198" s="54"/>
      <c r="I198" s="54" t="s">
        <v>3181</v>
      </c>
      <c r="J198" s="54"/>
      <c r="K198" s="54"/>
      <c r="L198" s="54"/>
    </row>
    <row r="199" spans="1:12">
      <c r="A199" s="99" t="s">
        <v>1811</v>
      </c>
      <c r="B199" s="100" t="str">
        <f>Tabelle14[[#This Row],[Dateiname]]</f>
        <v>feuerloescher</v>
      </c>
      <c r="C199" s="101" t="s">
        <v>2247</v>
      </c>
      <c r="D199" s="9" t="s">
        <v>2987</v>
      </c>
      <c r="E199" s="30"/>
      <c r="F199" s="54" t="s">
        <v>3183</v>
      </c>
      <c r="G199" s="54" t="s">
        <v>3184</v>
      </c>
      <c r="H199" s="54"/>
      <c r="I199" s="54" t="s">
        <v>3185</v>
      </c>
      <c r="J199" s="54"/>
      <c r="K199" s="54"/>
      <c r="L199" s="54"/>
    </row>
    <row r="200" spans="1:12">
      <c r="A200" s="99" t="s">
        <v>1621</v>
      </c>
      <c r="B200" s="100" t="str">
        <f>Tabelle14[[#This Row],[Dateiname]]</f>
        <v>waldbrand</v>
      </c>
      <c r="C200" s="101" t="s">
        <v>2247</v>
      </c>
      <c r="D200" s="9" t="s">
        <v>2988</v>
      </c>
      <c r="E200" s="30"/>
      <c r="F200" s="54" t="s">
        <v>3187</v>
      </c>
      <c r="G200" s="54" t="s">
        <v>3186</v>
      </c>
      <c r="H200" s="54"/>
      <c r="I200" s="54" t="s">
        <v>3187</v>
      </c>
      <c r="J200" s="54"/>
      <c r="K200" s="54"/>
      <c r="L200" s="54"/>
    </row>
    <row r="201" spans="1:12">
      <c r="A201" s="99" t="s">
        <v>960</v>
      </c>
      <c r="B201" s="100" t="str">
        <f>Tabelle14[[#This Row],[Dateiname]]</f>
        <v>christentum</v>
      </c>
      <c r="C201" s="101" t="s">
        <v>2247</v>
      </c>
      <c r="D201" s="9" t="s">
        <v>2989</v>
      </c>
      <c r="E201" s="30"/>
      <c r="F201" s="54" t="s">
        <v>3198</v>
      </c>
      <c r="G201" s="54" t="s">
        <v>3199</v>
      </c>
      <c r="H201" s="54"/>
      <c r="I201" s="54" t="s">
        <v>3198</v>
      </c>
      <c r="J201" s="54"/>
      <c r="K201" s="54"/>
      <c r="L201" s="54"/>
    </row>
    <row r="202" spans="1:12">
      <c r="A202" s="99" t="s">
        <v>2990</v>
      </c>
      <c r="B202" s="100" t="str">
        <f>Tabelle14[[#This Row],[Dateiname]]</f>
        <v>abdruck</v>
      </c>
      <c r="C202" s="101" t="s">
        <v>2247</v>
      </c>
      <c r="D202" s="9" t="s">
        <v>2991</v>
      </c>
      <c r="E202" s="30"/>
      <c r="F202" s="54" t="s">
        <v>3200</v>
      </c>
      <c r="G202" s="98" t="s">
        <v>3201</v>
      </c>
      <c r="H202" s="54"/>
      <c r="I202" s="54" t="s">
        <v>3200</v>
      </c>
      <c r="J202" s="54"/>
      <c r="K202" s="54"/>
      <c r="L202" s="54" t="s">
        <v>3202</v>
      </c>
    </row>
    <row r="203" spans="1:12">
      <c r="A203" s="99" t="s">
        <v>1996</v>
      </c>
      <c r="B203" s="100" t="str">
        <f>Tabelle14[[#This Row],[Dateiname]]</f>
        <v>tor</v>
      </c>
      <c r="C203" s="101" t="s">
        <v>2247</v>
      </c>
      <c r="D203" s="9" t="s">
        <v>2992</v>
      </c>
      <c r="E203" s="30"/>
      <c r="F203" s="54" t="s">
        <v>3188</v>
      </c>
      <c r="G203" s="54" t="s">
        <v>3203</v>
      </c>
      <c r="H203" s="54"/>
      <c r="I203" s="54" t="s">
        <v>3188</v>
      </c>
      <c r="J203" s="54"/>
      <c r="K203" s="54"/>
      <c r="L203" s="54"/>
    </row>
    <row r="204" spans="1:12">
      <c r="A204" s="99" t="s">
        <v>1139</v>
      </c>
      <c r="B204" s="100" t="str">
        <f>Tabelle14[[#This Row],[Dateiname]]</f>
        <v>stoeckelschuhe</v>
      </c>
      <c r="C204" s="101" t="s">
        <v>2247</v>
      </c>
      <c r="D204" s="9" t="s">
        <v>2993</v>
      </c>
      <c r="E204" s="30"/>
      <c r="F204" s="54" t="s">
        <v>3092</v>
      </c>
      <c r="G204" s="54" t="s">
        <v>3093</v>
      </c>
      <c r="H204" s="54"/>
      <c r="I204" s="54" t="s">
        <v>3204</v>
      </c>
      <c r="J204" s="54"/>
      <c r="K204" s="54"/>
      <c r="L204" s="54"/>
    </row>
    <row r="205" spans="1:12">
      <c r="A205" s="99" t="s">
        <v>2994</v>
      </c>
      <c r="B205" s="100" t="str">
        <f>Tabelle14[[#This Row],[Dateiname]]</f>
        <v>waschmaschine</v>
      </c>
      <c r="C205" s="101" t="s">
        <v>2247</v>
      </c>
      <c r="D205" s="9" t="s">
        <v>2995</v>
      </c>
      <c r="E205" s="30"/>
      <c r="F205" s="54" t="s">
        <v>3084</v>
      </c>
      <c r="G205" s="54" t="s">
        <v>3205</v>
      </c>
      <c r="H205" s="54"/>
      <c r="I205" s="54" t="s">
        <v>3189</v>
      </c>
      <c r="J205" s="54"/>
      <c r="K205" s="54"/>
      <c r="L205" s="54"/>
    </row>
    <row r="206" spans="1:12">
      <c r="A206" s="99" t="s">
        <v>1585</v>
      </c>
      <c r="B206" s="100" t="str">
        <f>Tabelle14[[#This Row],[Dateiname]]</f>
        <v>koenig</v>
      </c>
      <c r="C206" s="101" t="s">
        <v>2247</v>
      </c>
      <c r="D206" s="9" t="s">
        <v>2996</v>
      </c>
      <c r="E206" s="30"/>
      <c r="F206" s="54" t="s">
        <v>3094</v>
      </c>
      <c r="G206" s="54" t="s">
        <v>3095</v>
      </c>
      <c r="H206" s="54"/>
      <c r="I206" s="54" t="s">
        <v>3206</v>
      </c>
      <c r="J206" s="54"/>
      <c r="K206" s="54"/>
      <c r="L206" s="54"/>
    </row>
    <row r="207" spans="1:12">
      <c r="A207" s="99" t="s">
        <v>1585</v>
      </c>
      <c r="B207" s="100" t="str">
        <f>Tabelle14[[#This Row],[Dateiname]]</f>
        <v>angel</v>
      </c>
      <c r="C207" s="101" t="s">
        <v>2247</v>
      </c>
      <c r="D207" s="9" t="s">
        <v>2997</v>
      </c>
      <c r="E207" s="30"/>
      <c r="F207" s="54" t="s">
        <v>3208</v>
      </c>
      <c r="G207" s="54" t="s">
        <v>3207</v>
      </c>
      <c r="H207" s="54"/>
      <c r="I207" s="54" t="s">
        <v>3208</v>
      </c>
      <c r="J207" s="54"/>
      <c r="K207" s="54"/>
      <c r="L207" s="54"/>
    </row>
    <row r="208" spans="1:12">
      <c r="A208" s="99" t="s">
        <v>960</v>
      </c>
      <c r="B208" s="100" t="str">
        <f>Tabelle14[[#This Row],[Dateiname]]</f>
        <v>ballett</v>
      </c>
      <c r="C208" s="101" t="s">
        <v>2247</v>
      </c>
      <c r="D208" s="9" t="s">
        <v>2998</v>
      </c>
      <c r="E208" s="30"/>
      <c r="F208" s="54" t="s">
        <v>3190</v>
      </c>
      <c r="G208" s="54" t="s">
        <v>3211</v>
      </c>
      <c r="H208" s="54"/>
      <c r="I208" s="54" t="s">
        <v>3190</v>
      </c>
      <c r="J208" s="54"/>
      <c r="K208" s="54"/>
      <c r="L208" s="54"/>
    </row>
    <row r="209" spans="1:12">
      <c r="A209" s="99" t="s">
        <v>1585</v>
      </c>
      <c r="B209" s="100" t="str">
        <f>Tabelle14[[#This Row],[Dateiname]]</f>
        <v>bogen</v>
      </c>
      <c r="C209" s="101" t="s">
        <v>2247</v>
      </c>
      <c r="D209" s="9" t="s">
        <v>2999</v>
      </c>
      <c r="E209" s="30"/>
      <c r="F209" s="54" t="s">
        <v>3209</v>
      </c>
      <c r="G209" s="54" t="s">
        <v>3210</v>
      </c>
      <c r="H209" s="54"/>
      <c r="I209" s="54" t="s">
        <v>3209</v>
      </c>
      <c r="J209" s="54"/>
      <c r="K209" s="54"/>
      <c r="L209" s="54"/>
    </row>
    <row r="210" spans="1:12">
      <c r="A210" s="99" t="s">
        <v>3000</v>
      </c>
      <c r="B210" s="100" t="str">
        <f>Tabelle14[[#This Row],[Dateiname]]</f>
        <v>basilikum</v>
      </c>
      <c r="C210" s="101" t="s">
        <v>2247</v>
      </c>
      <c r="D210" s="9" t="s">
        <v>3001</v>
      </c>
      <c r="E210" s="30"/>
      <c r="F210" s="54" t="s">
        <v>3191</v>
      </c>
      <c r="G210" s="54" t="s">
        <v>3212</v>
      </c>
      <c r="H210" s="54"/>
      <c r="I210" s="54" t="s">
        <v>3191</v>
      </c>
      <c r="J210" s="54"/>
      <c r="K210" s="54"/>
      <c r="L210" s="54"/>
    </row>
    <row r="211" spans="1:12">
      <c r="A211" s="99" t="s">
        <v>48</v>
      </c>
      <c r="B211" s="100" t="str">
        <f>Tabelle14[[#This Row],[Dateiname]]</f>
        <v>riechen</v>
      </c>
      <c r="C211" s="101" t="s">
        <v>2247</v>
      </c>
      <c r="D211" s="9" t="s">
        <v>3002</v>
      </c>
      <c r="E211" s="30"/>
      <c r="F211" s="54" t="s">
        <v>3098</v>
      </c>
      <c r="G211" s="54" t="s">
        <v>3213</v>
      </c>
      <c r="H211" s="54"/>
      <c r="I211" s="54" t="s">
        <v>3098</v>
      </c>
      <c r="J211" s="54"/>
      <c r="K211" s="54"/>
      <c r="L211" s="54"/>
    </row>
    <row r="212" spans="1:12">
      <c r="A212" s="99" t="s">
        <v>3003</v>
      </c>
      <c r="B212" s="100" t="str">
        <f>Tabelle14[[#This Row],[Dateiname]]</f>
        <v>chips</v>
      </c>
      <c r="C212" s="101" t="s">
        <v>2247</v>
      </c>
      <c r="D212" s="9" t="s">
        <v>3004</v>
      </c>
      <c r="E212" s="30"/>
      <c r="F212" s="54" t="s">
        <v>3192</v>
      </c>
      <c r="G212" s="54" t="s">
        <v>3214</v>
      </c>
      <c r="H212" s="54" t="s">
        <v>3192</v>
      </c>
      <c r="I212" s="54" t="s">
        <v>3192</v>
      </c>
      <c r="J212" s="54"/>
      <c r="K212" s="54"/>
      <c r="L212" s="54"/>
    </row>
    <row r="213" spans="1:12">
      <c r="A213" s="99" t="s">
        <v>2901</v>
      </c>
      <c r="B213" s="100" t="str">
        <f>Tabelle14[[#This Row],[Dateiname]]</f>
        <v>glut</v>
      </c>
      <c r="C213" s="101" t="s">
        <v>2247</v>
      </c>
      <c r="D213" s="9" t="s">
        <v>3005</v>
      </c>
      <c r="E213" s="30"/>
      <c r="F213" s="54" t="s">
        <v>3215</v>
      </c>
      <c r="G213" s="54" t="s">
        <v>3216</v>
      </c>
      <c r="H213" s="54"/>
      <c r="I213" s="54" t="s">
        <v>3215</v>
      </c>
      <c r="J213" s="54"/>
      <c r="K213" s="54"/>
      <c r="L213" s="54"/>
    </row>
    <row r="214" spans="1:12">
      <c r="A214" s="99" t="s">
        <v>351</v>
      </c>
      <c r="B214" s="100" t="str">
        <f>Tabelle14[[#This Row],[Dateiname]]</f>
        <v>barren</v>
      </c>
      <c r="C214" s="101" t="s">
        <v>2247</v>
      </c>
      <c r="D214" s="9" t="s">
        <v>3006</v>
      </c>
      <c r="E214" s="30"/>
      <c r="F214" s="54" t="s">
        <v>3217</v>
      </c>
      <c r="G214" s="54" t="s">
        <v>2844</v>
      </c>
      <c r="H214" s="54"/>
      <c r="I214" s="54" t="s">
        <v>3217</v>
      </c>
      <c r="J214" s="54"/>
      <c r="K214" s="54"/>
      <c r="L214" s="54"/>
    </row>
    <row r="215" spans="1:12">
      <c r="A215" s="99" t="s">
        <v>1698</v>
      </c>
      <c r="B215" s="100" t="str">
        <f>Tabelle14[[#This Row],[Dateiname]]</f>
        <v>auflauf</v>
      </c>
      <c r="C215" s="101" t="s">
        <v>2247</v>
      </c>
      <c r="D215" s="9" t="s">
        <v>3007</v>
      </c>
      <c r="E215" s="30"/>
      <c r="F215" s="54" t="s">
        <v>3219</v>
      </c>
      <c r="G215" s="54" t="s">
        <v>3218</v>
      </c>
      <c r="H215" s="54"/>
      <c r="I215" s="54" t="s">
        <v>3219</v>
      </c>
      <c r="J215" s="54"/>
      <c r="K215" s="54"/>
      <c r="L215" s="54"/>
    </row>
    <row r="216" spans="1:12">
      <c r="A216" s="99" t="s">
        <v>1585</v>
      </c>
      <c r="B216" s="100" t="str">
        <f>Tabelle14[[#This Row],[Dateiname]]</f>
        <v>getriebe</v>
      </c>
      <c r="C216" s="101" t="s">
        <v>2247</v>
      </c>
      <c r="D216" s="9" t="s">
        <v>3008</v>
      </c>
      <c r="E216" s="30"/>
      <c r="F216" s="54" t="s">
        <v>3193</v>
      </c>
      <c r="G216" s="54" t="s">
        <v>1863</v>
      </c>
      <c r="H216" s="54"/>
      <c r="I216" s="54" t="s">
        <v>3193</v>
      </c>
      <c r="J216" s="54"/>
      <c r="K216" s="54"/>
      <c r="L216" s="54"/>
    </row>
    <row r="217" spans="1:12">
      <c r="A217" s="99" t="s">
        <v>48</v>
      </c>
      <c r="B217" s="100" t="str">
        <f>Tabelle14[[#This Row],[Dateiname]]</f>
        <v>backen</v>
      </c>
      <c r="C217" s="101" t="s">
        <v>2247</v>
      </c>
      <c r="D217" s="9" t="s">
        <v>3009</v>
      </c>
      <c r="E217" s="30"/>
      <c r="F217" s="54" t="s">
        <v>3220</v>
      </c>
      <c r="G217" s="54" t="s">
        <v>3221</v>
      </c>
      <c r="H217" s="54"/>
      <c r="I217" s="54" t="s">
        <v>3220</v>
      </c>
      <c r="J217" s="54"/>
      <c r="K217" s="54"/>
      <c r="L217" s="54"/>
    </row>
    <row r="218" spans="1:12">
      <c r="A218" s="99" t="s">
        <v>3010</v>
      </c>
      <c r="B218" s="100" t="str">
        <f>Tabelle14[[#This Row],[Dateiname]]</f>
        <v>kuppel</v>
      </c>
      <c r="C218" s="101" t="s">
        <v>2247</v>
      </c>
      <c r="D218" s="9" t="s">
        <v>3011</v>
      </c>
      <c r="E218" s="30"/>
      <c r="F218" s="54" t="s">
        <v>3194</v>
      </c>
      <c r="G218" s="54" t="s">
        <v>3222</v>
      </c>
      <c r="H218" s="54"/>
      <c r="I218" s="54" t="s">
        <v>3194</v>
      </c>
      <c r="J218" s="54"/>
      <c r="K218" s="54"/>
      <c r="L218" s="54"/>
    </row>
    <row r="219" spans="1:12">
      <c r="A219" s="99" t="s">
        <v>48</v>
      </c>
      <c r="B219" s="100" t="str">
        <f>Tabelle14[[#This Row],[Dateiname]]</f>
        <v>gitarre</v>
      </c>
      <c r="C219" s="101" t="s">
        <v>2247</v>
      </c>
      <c r="D219" s="9" t="s">
        <v>3012</v>
      </c>
      <c r="E219" s="30"/>
      <c r="F219" s="54" t="s">
        <v>3180</v>
      </c>
      <c r="G219" s="54" t="s">
        <v>3178</v>
      </c>
      <c r="H219" s="54"/>
      <c r="I219" s="54" t="s">
        <v>3180</v>
      </c>
      <c r="J219" s="54"/>
      <c r="K219" s="54"/>
      <c r="L219" s="54"/>
    </row>
    <row r="220" spans="1:12">
      <c r="A220" s="99" t="s">
        <v>1585</v>
      </c>
      <c r="B220" s="100" t="str">
        <f>Tabelle14[[#This Row],[Dateiname]]</f>
        <v>bakteriophage</v>
      </c>
      <c r="C220" s="101" t="s">
        <v>2247</v>
      </c>
      <c r="D220" s="9" t="s">
        <v>3013</v>
      </c>
      <c r="E220" s="30"/>
      <c r="F220" s="54" t="s">
        <v>3195</v>
      </c>
      <c r="G220" s="54" t="s">
        <v>3223</v>
      </c>
      <c r="H220" s="54"/>
      <c r="I220" s="54" t="s">
        <v>3195</v>
      </c>
      <c r="J220" s="54"/>
      <c r="K220" s="54"/>
      <c r="L220" s="54"/>
    </row>
    <row r="221" spans="1:12">
      <c r="A221" s="99" t="s">
        <v>3014</v>
      </c>
      <c r="B221" s="100" t="str">
        <f>Tabelle14[[#This Row],[Dateiname]]</f>
        <v>ruestung</v>
      </c>
      <c r="C221" s="101" t="s">
        <v>2247</v>
      </c>
      <c r="D221" s="9" t="s">
        <v>3015</v>
      </c>
      <c r="E221" s="30"/>
      <c r="F221" s="54" t="s">
        <v>3224</v>
      </c>
      <c r="G221" s="54" t="s">
        <v>3225</v>
      </c>
      <c r="H221" s="54"/>
      <c r="I221" s="54" t="s">
        <v>3226</v>
      </c>
      <c r="J221" s="54"/>
      <c r="K221" s="54"/>
      <c r="L221" s="54"/>
    </row>
    <row r="222" spans="1:12">
      <c r="A222" s="99" t="s">
        <v>3016</v>
      </c>
      <c r="B222" s="100" t="str">
        <f>Tabelle14[[#This Row],[Dateiname]]</f>
        <v>mittelalter</v>
      </c>
      <c r="C222" s="101" t="s">
        <v>2247</v>
      </c>
      <c r="D222" s="9" t="s">
        <v>3017</v>
      </c>
      <c r="E222" s="30"/>
      <c r="F222" s="54" t="s">
        <v>3227</v>
      </c>
      <c r="G222" s="54" t="s">
        <v>3228</v>
      </c>
      <c r="H222" s="54"/>
      <c r="I222" s="54" t="s">
        <v>3227</v>
      </c>
      <c r="J222" s="54"/>
      <c r="K222" s="54"/>
      <c r="L222" s="54"/>
    </row>
    <row r="223" spans="1:12">
      <c r="A223" s="99" t="s">
        <v>1924</v>
      </c>
      <c r="B223" s="100" t="str">
        <f>Tabelle14[[#This Row],[Dateiname]]</f>
        <v>ruine</v>
      </c>
      <c r="C223" s="101" t="s">
        <v>2247</v>
      </c>
      <c r="D223" s="9" t="s">
        <v>3018</v>
      </c>
      <c r="E223" s="30"/>
      <c r="F223" s="54" t="s">
        <v>3229</v>
      </c>
      <c r="G223" s="54" t="s">
        <v>3230</v>
      </c>
      <c r="H223" s="54"/>
      <c r="I223" s="54" t="s">
        <v>3229</v>
      </c>
      <c r="J223" s="54"/>
      <c r="K223" s="54"/>
      <c r="L223" s="54"/>
    </row>
    <row r="224" spans="1:12">
      <c r="A224" s="99" t="s">
        <v>887</v>
      </c>
      <c r="B224" s="100" t="str">
        <f>Tabelle14[[#This Row],[Dateiname]]</f>
        <v>britisch</v>
      </c>
      <c r="C224" s="101" t="s">
        <v>2247</v>
      </c>
      <c r="D224" s="9" t="s">
        <v>3019</v>
      </c>
      <c r="E224" s="30"/>
      <c r="F224" s="54" t="s">
        <v>3096</v>
      </c>
      <c r="G224" s="54" t="s">
        <v>3231</v>
      </c>
      <c r="H224" s="54"/>
      <c r="I224" s="54" t="s">
        <v>3096</v>
      </c>
      <c r="J224" s="54"/>
      <c r="K224" s="54"/>
      <c r="L224" s="54"/>
    </row>
    <row r="225" spans="1:12">
      <c r="A225" s="99" t="s">
        <v>3020</v>
      </c>
      <c r="B225" s="100" t="str">
        <f>Tabelle14[[#This Row],[Dateiname]]</f>
        <v>blumenstrauss</v>
      </c>
      <c r="C225" s="101" t="s">
        <v>2247</v>
      </c>
      <c r="D225" s="9" t="s">
        <v>3021</v>
      </c>
      <c r="E225" s="30"/>
      <c r="F225" s="54" t="s">
        <v>3232</v>
      </c>
      <c r="G225" s="54" t="s">
        <v>3233</v>
      </c>
      <c r="H225" s="54"/>
      <c r="I225" s="54" t="s">
        <v>3232</v>
      </c>
      <c r="J225" s="54"/>
      <c r="K225" s="54"/>
      <c r="L225" s="54"/>
    </row>
    <row r="226" spans="1:12">
      <c r="A226" s="99" t="s">
        <v>3022</v>
      </c>
      <c r="B226" s="100" t="str">
        <f>Tabelle14[[#This Row],[Dateiname]]</f>
        <v>topfpflanze</v>
      </c>
      <c r="C226" s="101" t="s">
        <v>2247</v>
      </c>
      <c r="D226" s="9" t="s">
        <v>3023</v>
      </c>
      <c r="E226" s="30"/>
      <c r="F226" s="54" t="s">
        <v>3196</v>
      </c>
      <c r="G226" s="54" t="s">
        <v>3234</v>
      </c>
      <c r="H226" s="54"/>
      <c r="I226" s="54" t="s">
        <v>3196</v>
      </c>
      <c r="J226" s="54"/>
      <c r="K226" s="54"/>
      <c r="L226" s="54"/>
    </row>
    <row r="227" spans="1:12">
      <c r="A227" s="99" t="s">
        <v>887</v>
      </c>
      <c r="B227" s="100" t="str">
        <f>Tabelle14[[#This Row],[Dateiname]]</f>
        <v>strichkode</v>
      </c>
      <c r="C227" s="101" t="s">
        <v>2247</v>
      </c>
      <c r="D227" s="9" t="s">
        <v>3024</v>
      </c>
      <c r="E227" s="30"/>
      <c r="F227" s="54" t="s">
        <v>3238</v>
      </c>
      <c r="G227" s="54" t="s">
        <v>3235</v>
      </c>
      <c r="H227" s="54"/>
      <c r="I227" s="54" t="s">
        <v>3238</v>
      </c>
      <c r="J227" s="54"/>
      <c r="K227" s="54"/>
      <c r="L227" s="54"/>
    </row>
    <row r="228" spans="1:12">
      <c r="A228" s="99" t="s">
        <v>1585</v>
      </c>
      <c r="B228" s="100" t="str">
        <f>Tabelle14[[#This Row],[Dateiname]]</f>
        <v>cursor</v>
      </c>
      <c r="C228" s="101" t="s">
        <v>2247</v>
      </c>
      <c r="D228" s="9" t="s">
        <v>3025</v>
      </c>
      <c r="E228" s="30"/>
      <c r="F228" s="54" t="s">
        <v>3179</v>
      </c>
      <c r="G228" s="54" t="s">
        <v>3179</v>
      </c>
      <c r="H228" s="54"/>
      <c r="I228" s="54" t="s">
        <v>3179</v>
      </c>
      <c r="J228" s="54"/>
      <c r="K228" s="54"/>
      <c r="L228" s="54"/>
    </row>
    <row r="229" spans="1:12">
      <c r="A229" s="99" t="s">
        <v>865</v>
      </c>
      <c r="B229" s="100" t="str">
        <f>Tabelle14[[#This Row],[Dateiname]]</f>
        <v>dampflok</v>
      </c>
      <c r="C229" s="101" t="s">
        <v>2247</v>
      </c>
      <c r="D229" s="9" t="s">
        <v>3026</v>
      </c>
      <c r="E229" s="30"/>
      <c r="F229" s="54" t="s">
        <v>3239</v>
      </c>
      <c r="G229" s="54" t="s">
        <v>3240</v>
      </c>
      <c r="H229" s="54"/>
      <c r="I229" s="54" t="s">
        <v>3239</v>
      </c>
      <c r="J229" s="54"/>
      <c r="K229" s="54"/>
      <c r="L229" s="54"/>
    </row>
    <row r="230" spans="1:12">
      <c r="A230" s="99" t="s">
        <v>1811</v>
      </c>
      <c r="B230" s="100" t="str">
        <f>Tabelle14[[#This Row],[Dateiname]]</f>
        <v>pfeife</v>
      </c>
      <c r="C230" s="101" t="s">
        <v>2247</v>
      </c>
      <c r="D230" s="9" t="s">
        <v>3027</v>
      </c>
      <c r="E230" s="30"/>
      <c r="F230" s="54" t="s">
        <v>1878</v>
      </c>
      <c r="G230" s="54" t="s">
        <v>3242</v>
      </c>
      <c r="H230" s="54"/>
      <c r="I230" s="54" t="s">
        <v>1878</v>
      </c>
      <c r="J230" s="54"/>
      <c r="K230" s="54"/>
      <c r="L230" s="54"/>
    </row>
    <row r="231" spans="1:12">
      <c r="A231" s="99" t="s">
        <v>3014</v>
      </c>
      <c r="B231" s="100" t="str">
        <f>Tabelle14[[#This Row],[Dateiname]]</f>
        <v>rauch</v>
      </c>
      <c r="C231" s="101" t="s">
        <v>2247</v>
      </c>
      <c r="D231" s="9" t="s">
        <v>3028</v>
      </c>
      <c r="E231" s="30"/>
      <c r="F231" s="54" t="s">
        <v>3100</v>
      </c>
      <c r="G231" s="54" t="s">
        <v>3241</v>
      </c>
      <c r="H231" s="54"/>
      <c r="I231" s="54" t="s">
        <v>3100</v>
      </c>
      <c r="J231" s="54"/>
      <c r="K231" s="54"/>
      <c r="L231" s="54"/>
    </row>
    <row r="232" spans="1:12">
      <c r="A232" s="99" t="s">
        <v>3003</v>
      </c>
      <c r="B232" s="100" t="str">
        <f>Tabelle14[[#This Row],[Dateiname]]</f>
        <v>kreisel</v>
      </c>
      <c r="C232" s="101" t="s">
        <v>2247</v>
      </c>
      <c r="D232" s="9" t="s">
        <v>3029</v>
      </c>
      <c r="E232" s="30"/>
      <c r="F232" s="54" t="s">
        <v>3197</v>
      </c>
      <c r="G232" s="98" t="s">
        <v>3243</v>
      </c>
      <c r="H232" s="54"/>
      <c r="I232" s="54" t="s">
        <v>3197</v>
      </c>
      <c r="J232" s="54"/>
      <c r="K232" s="54"/>
      <c r="L232" s="54"/>
    </row>
    <row r="233" spans="1:12">
      <c r="A233" s="99" t="s">
        <v>3030</v>
      </c>
      <c r="B233" s="100" t="str">
        <f>Tabelle14[[#This Row],[Dateiname]]</f>
        <v>atompilz</v>
      </c>
      <c r="C233" s="101" t="s">
        <v>2247</v>
      </c>
      <c r="D233" s="9" t="s">
        <v>3031</v>
      </c>
      <c r="E233" s="30"/>
      <c r="F233" s="54" t="s">
        <v>3248</v>
      </c>
      <c r="G233" s="54" t="s">
        <v>3097</v>
      </c>
      <c r="H233" s="54"/>
      <c r="I233" s="54" t="s">
        <v>3248</v>
      </c>
      <c r="J233" s="54"/>
      <c r="K233" s="54"/>
      <c r="L233" s="54"/>
    </row>
    <row r="234" spans="1:12">
      <c r="A234" s="99" t="s">
        <v>1175</v>
      </c>
      <c r="B234" s="100" t="str">
        <f>Tabelle14[[#This Row],[Dateiname]]</f>
        <v>fallobst</v>
      </c>
      <c r="C234" s="101" t="s">
        <v>2247</v>
      </c>
      <c r="D234" s="9" t="s">
        <v>3032</v>
      </c>
      <c r="E234" s="30"/>
      <c r="F234" s="54" t="s">
        <v>3244</v>
      </c>
      <c r="G234" s="98" t="s">
        <v>3245</v>
      </c>
      <c r="H234" s="54"/>
      <c r="I234" s="54" t="s">
        <v>3244</v>
      </c>
      <c r="J234" s="54"/>
      <c r="K234" s="54"/>
      <c r="L234" s="54"/>
    </row>
    <row r="235" spans="1:12">
      <c r="A235" s="99">
        <v>873770</v>
      </c>
      <c r="B235" s="100" t="str">
        <f>Tabelle14[[#This Row],[Dateiname]]</f>
        <v>freude</v>
      </c>
      <c r="C235" s="101" t="s">
        <v>2247</v>
      </c>
      <c r="D235" s="9" t="s">
        <v>3033</v>
      </c>
      <c r="E235" s="30"/>
      <c r="F235" s="54" t="s">
        <v>3246</v>
      </c>
      <c r="G235" s="54" t="s">
        <v>3249</v>
      </c>
      <c r="H235" s="54"/>
      <c r="I235" s="54" t="s">
        <v>3247</v>
      </c>
      <c r="J235" s="54"/>
      <c r="K235" s="54"/>
      <c r="L235" s="54"/>
    </row>
    <row r="236" spans="1:12">
      <c r="A236" s="99" t="s">
        <v>3034</v>
      </c>
      <c r="B236" s="100" t="str">
        <f>Tabelle14[[#This Row],[Dateiname]]</f>
        <v>lachen</v>
      </c>
      <c r="C236" s="101" t="s">
        <v>2247</v>
      </c>
      <c r="D236" s="9" t="s">
        <v>3035</v>
      </c>
      <c r="E236" s="30"/>
      <c r="F236" s="54" t="s">
        <v>3085</v>
      </c>
      <c r="G236" s="54" t="s">
        <v>3250</v>
      </c>
      <c r="H236" s="54"/>
      <c r="I236" s="54" t="s">
        <v>3251</v>
      </c>
      <c r="J236" s="54"/>
      <c r="K236" s="54"/>
      <c r="L236" s="54"/>
    </row>
    <row r="237" spans="1:12">
      <c r="A237" s="99" t="s">
        <v>3036</v>
      </c>
      <c r="B237" s="100" t="str">
        <f>Tabelle14[[#This Row],[Dateiname]]</f>
        <v>ofen</v>
      </c>
      <c r="C237" s="101" t="s">
        <v>2247</v>
      </c>
      <c r="D237" s="9" t="s">
        <v>3037</v>
      </c>
      <c r="E237" s="30"/>
      <c r="F237" s="54" t="s">
        <v>3086</v>
      </c>
      <c r="G237" s="54" t="s">
        <v>3258</v>
      </c>
      <c r="H237" s="54"/>
      <c r="I237" s="54" t="s">
        <v>3252</v>
      </c>
      <c r="J237" s="54"/>
      <c r="K237" s="54"/>
      <c r="L237" s="54"/>
    </row>
    <row r="238" spans="1:12">
      <c r="A238" s="99" t="s">
        <v>3038</v>
      </c>
      <c r="B238" s="100" t="str">
        <f>Tabelle14[[#This Row],[Dateiname]]</f>
        <v>gasflamme</v>
      </c>
      <c r="C238" s="101" t="s">
        <v>2247</v>
      </c>
      <c r="D238" s="9" t="s">
        <v>3039</v>
      </c>
      <c r="E238" s="30"/>
      <c r="F238" s="54" t="s">
        <v>3269</v>
      </c>
      <c r="G238" s="54" t="s">
        <v>3270</v>
      </c>
      <c r="H238" s="54"/>
      <c r="I238" s="54" t="s">
        <v>3271</v>
      </c>
      <c r="J238" s="54"/>
      <c r="K238" s="54"/>
      <c r="L238" s="54"/>
    </row>
    <row r="239" spans="1:12">
      <c r="A239" s="99" t="s">
        <v>887</v>
      </c>
      <c r="B239" s="100" t="str">
        <f>Tabelle14[[#This Row],[Dateiname]]</f>
        <v>tafel</v>
      </c>
      <c r="C239" s="101" t="s">
        <v>2247</v>
      </c>
      <c r="D239" s="9" t="s">
        <v>3040</v>
      </c>
      <c r="E239" s="30"/>
      <c r="F239" s="54" t="s">
        <v>3087</v>
      </c>
      <c r="G239" s="54" t="s">
        <v>2478</v>
      </c>
      <c r="H239" s="54"/>
      <c r="I239" s="54" t="s">
        <v>3253</v>
      </c>
      <c r="J239" s="54"/>
      <c r="K239" s="54"/>
      <c r="L239" s="54"/>
    </row>
    <row r="240" spans="1:12">
      <c r="A240" s="99" t="s">
        <v>3041</v>
      </c>
      <c r="B240" s="100" t="str">
        <f>Tabelle14[[#This Row],[Dateiname]]</f>
        <v>troll</v>
      </c>
      <c r="C240" s="101" t="s">
        <v>2247</v>
      </c>
      <c r="D240" s="9" t="s">
        <v>3042</v>
      </c>
      <c r="E240" s="30"/>
      <c r="F240" s="54" t="s">
        <v>3272</v>
      </c>
      <c r="G240" s="54" t="s">
        <v>3272</v>
      </c>
      <c r="H240" s="54"/>
      <c r="I240" s="54" t="s">
        <v>3272</v>
      </c>
      <c r="J240" s="54"/>
      <c r="K240" s="54"/>
      <c r="L240" s="54"/>
    </row>
    <row r="241" spans="1:12">
      <c r="A241" s="99" t="s">
        <v>1585</v>
      </c>
      <c r="B241" s="100" t="str">
        <f>Tabelle14[[#This Row],[Dateiname]]</f>
        <v>badewanne</v>
      </c>
      <c r="C241" s="101" t="s">
        <v>2247</v>
      </c>
      <c r="D241" s="9" t="s">
        <v>3043</v>
      </c>
      <c r="E241" s="30"/>
      <c r="F241" s="54" t="s">
        <v>3254</v>
      </c>
      <c r="G241" s="54" t="s">
        <v>3273</v>
      </c>
      <c r="H241" s="54"/>
      <c r="I241" s="54" t="s">
        <v>3254</v>
      </c>
      <c r="J241" s="54"/>
      <c r="K241" s="54"/>
      <c r="L241" s="54"/>
    </row>
    <row r="242" spans="1:12">
      <c r="A242" s="99" t="s">
        <v>3044</v>
      </c>
      <c r="B242" s="100" t="str">
        <f>Tabelle14[[#This Row],[Dateiname]]</f>
        <v>horoskop</v>
      </c>
      <c r="C242" s="101" t="s">
        <v>2247</v>
      </c>
      <c r="D242" s="9" t="s">
        <v>3045</v>
      </c>
      <c r="E242" s="30"/>
      <c r="F242" s="54" t="s">
        <v>3099</v>
      </c>
      <c r="G242" s="54" t="s">
        <v>3274</v>
      </c>
      <c r="H242" s="54"/>
      <c r="I242" s="54" t="s">
        <v>3099</v>
      </c>
      <c r="J242" s="54"/>
      <c r="K242" s="54"/>
      <c r="L242" s="54"/>
    </row>
    <row r="243" spans="1:12">
      <c r="A243" s="99" t="s">
        <v>3046</v>
      </c>
      <c r="B243" s="100" t="str">
        <f>Tabelle14[[#This Row],[Dateiname]]</f>
        <v>massage</v>
      </c>
      <c r="C243" s="101" t="s">
        <v>2247</v>
      </c>
      <c r="D243" s="9" t="s">
        <v>3047</v>
      </c>
      <c r="E243" s="30"/>
      <c r="F243" s="54" t="s">
        <v>3237</v>
      </c>
      <c r="G243" s="54" t="s">
        <v>3237</v>
      </c>
      <c r="H243" s="54"/>
      <c r="I243" s="54" t="s">
        <v>3237</v>
      </c>
      <c r="J243" s="54"/>
      <c r="K243" s="54"/>
      <c r="L243" s="54"/>
    </row>
    <row r="244" spans="1:12">
      <c r="A244" s="99" t="s">
        <v>3048</v>
      </c>
      <c r="B244" s="100" t="str">
        <f>Tabelle14[[#This Row],[Dateiname]]</f>
        <v>kosmetik</v>
      </c>
      <c r="C244" s="101" t="s">
        <v>2247</v>
      </c>
      <c r="D244" s="9" t="s">
        <v>3049</v>
      </c>
      <c r="E244" s="30"/>
      <c r="F244" s="54" t="s">
        <v>3280</v>
      </c>
      <c r="G244" s="54" t="s">
        <v>3281</v>
      </c>
      <c r="H244" s="54"/>
      <c r="I244" s="54" t="s">
        <v>3280</v>
      </c>
      <c r="J244" s="54"/>
      <c r="K244" s="54"/>
      <c r="L244" s="54"/>
    </row>
    <row r="245" spans="1:12">
      <c r="A245" s="99" t="s">
        <v>351</v>
      </c>
      <c r="B245" s="100" t="str">
        <f>Tabelle14[[#This Row],[Dateiname]]</f>
        <v>lippenstift</v>
      </c>
      <c r="C245" s="101" t="s">
        <v>2247</v>
      </c>
      <c r="D245" s="9" t="s">
        <v>3050</v>
      </c>
      <c r="E245" s="30"/>
      <c r="F245" s="54" t="s">
        <v>3255</v>
      </c>
      <c r="G245" s="54" t="s">
        <v>3282</v>
      </c>
      <c r="H245" s="54"/>
      <c r="I245" s="54" t="s">
        <v>3255</v>
      </c>
      <c r="J245" s="54"/>
      <c r="K245" s="54"/>
      <c r="L245" s="54"/>
    </row>
    <row r="246" spans="1:12">
      <c r="A246" s="99" t="s">
        <v>3051</v>
      </c>
      <c r="B246" s="100" t="str">
        <f>Tabelle14[[#This Row],[Dateiname]]</f>
        <v>feuerwehrauto</v>
      </c>
      <c r="C246" s="101" t="s">
        <v>2247</v>
      </c>
      <c r="D246" s="9" t="s">
        <v>3052</v>
      </c>
      <c r="E246" s="30"/>
      <c r="F246" s="54" t="s">
        <v>3256</v>
      </c>
      <c r="G246" s="54" t="s">
        <v>3283</v>
      </c>
      <c r="H246" s="54"/>
      <c r="I246" s="54" t="s">
        <v>3256</v>
      </c>
      <c r="J246" s="54"/>
      <c r="K246" s="54"/>
      <c r="L246" s="54"/>
    </row>
    <row r="247" spans="1:12">
      <c r="A247" s="99" t="s">
        <v>351</v>
      </c>
      <c r="B247" s="100" t="str">
        <f>Tabelle14[[#This Row],[Dateiname]]</f>
        <v>bikini</v>
      </c>
      <c r="C247" s="101" t="s">
        <v>2247</v>
      </c>
      <c r="D247" s="9" t="s">
        <v>3053</v>
      </c>
      <c r="E247" s="30"/>
      <c r="F247" s="54" t="s">
        <v>3257</v>
      </c>
      <c r="G247" s="54" t="s">
        <v>3257</v>
      </c>
      <c r="H247" s="54"/>
      <c r="I247" s="54" t="s">
        <v>3257</v>
      </c>
      <c r="J247" s="54"/>
      <c r="K247" s="54"/>
      <c r="L247" s="54"/>
    </row>
    <row r="248" spans="1:12">
      <c r="A248" s="99" t="s">
        <v>1924</v>
      </c>
      <c r="B248" s="100" t="str">
        <f>Tabelle14[[#This Row],[Dateiname]]</f>
        <v>spargel</v>
      </c>
      <c r="C248" s="101" t="s">
        <v>2247</v>
      </c>
      <c r="D248" s="9" t="s">
        <v>3054</v>
      </c>
      <c r="E248" s="30"/>
      <c r="F248" s="54" t="s">
        <v>3259</v>
      </c>
      <c r="G248" s="54" t="s">
        <v>3289</v>
      </c>
      <c r="H248" s="54"/>
      <c r="I248" s="54" t="s">
        <v>3259</v>
      </c>
      <c r="J248" s="54"/>
      <c r="K248" s="54"/>
      <c r="L248" s="54"/>
    </row>
    <row r="249" spans="1:12">
      <c r="A249" s="99" t="s">
        <v>1585</v>
      </c>
      <c r="B249" s="100" t="str">
        <f>Tabelle14[[#This Row],[Dateiname]]</f>
        <v>friseur</v>
      </c>
      <c r="C249" s="101" t="s">
        <v>2247</v>
      </c>
      <c r="D249" s="9" t="s">
        <v>3055</v>
      </c>
      <c r="E249" s="30"/>
      <c r="F249" s="54" t="s">
        <v>3260</v>
      </c>
      <c r="G249" s="54" t="s">
        <v>3290</v>
      </c>
      <c r="H249" s="54"/>
      <c r="I249" s="54" t="s">
        <v>3260</v>
      </c>
      <c r="J249" s="54"/>
      <c r="K249" s="54"/>
      <c r="L249" s="54"/>
    </row>
    <row r="250" spans="1:12">
      <c r="A250" s="99" t="s">
        <v>1585</v>
      </c>
      <c r="B250" s="100" t="str">
        <f>Tabelle14[[#This Row],[Dateiname]]</f>
        <v>torte</v>
      </c>
      <c r="C250" s="101" t="s">
        <v>2247</v>
      </c>
      <c r="D250" s="9" t="s">
        <v>3056</v>
      </c>
      <c r="E250" s="30"/>
      <c r="F250" s="54" t="s">
        <v>3261</v>
      </c>
      <c r="G250" s="98" t="s">
        <v>3261</v>
      </c>
      <c r="H250" s="54"/>
      <c r="I250" s="54" t="s">
        <v>3261</v>
      </c>
      <c r="J250" s="54"/>
      <c r="K250" s="54"/>
      <c r="L250" s="54"/>
    </row>
    <row r="251" spans="1:12">
      <c r="A251" s="99" t="s">
        <v>3057</v>
      </c>
      <c r="B251" s="100" t="str">
        <f>Tabelle14[[#This Row],[Dateiname]]</f>
        <v>dj</v>
      </c>
      <c r="C251" s="101" t="s">
        <v>2247</v>
      </c>
      <c r="D251" s="9" t="s">
        <v>3058</v>
      </c>
      <c r="E251" s="30"/>
      <c r="F251" s="54" t="s">
        <v>3291</v>
      </c>
      <c r="G251" s="54" t="s">
        <v>3291</v>
      </c>
      <c r="H251" s="54"/>
      <c r="I251" s="54" t="s">
        <v>3291</v>
      </c>
      <c r="J251" s="54"/>
      <c r="K251" s="54"/>
      <c r="L251" s="54"/>
    </row>
    <row r="252" spans="1:12">
      <c r="A252" s="99" t="s">
        <v>3059</v>
      </c>
      <c r="B252" s="100" t="str">
        <f>Tabelle14[[#This Row],[Dateiname]]</f>
        <v>publikum</v>
      </c>
      <c r="C252" s="101" t="s">
        <v>2247</v>
      </c>
      <c r="D252" s="9" t="s">
        <v>3060</v>
      </c>
      <c r="E252" s="30"/>
      <c r="F252" s="54" t="s">
        <v>3262</v>
      </c>
      <c r="G252" s="54" t="s">
        <v>3292</v>
      </c>
      <c r="H252" s="54"/>
      <c r="I252" s="54" t="s">
        <v>3262</v>
      </c>
      <c r="J252" s="54"/>
      <c r="K252" s="54"/>
      <c r="L252" s="54"/>
    </row>
    <row r="253" spans="1:12">
      <c r="A253" s="99" t="s">
        <v>3061</v>
      </c>
      <c r="B253" s="100" t="str">
        <f>Tabelle14[[#This Row],[Dateiname]]</f>
        <v>haengematte</v>
      </c>
      <c r="C253" s="101" t="s">
        <v>2247</v>
      </c>
      <c r="D253" s="9" t="s">
        <v>3062</v>
      </c>
      <c r="E253" s="30"/>
      <c r="F253" s="54" t="s">
        <v>3293</v>
      </c>
      <c r="G253" s="54" t="s">
        <v>3295</v>
      </c>
      <c r="H253" s="54"/>
      <c r="I253" s="54" t="s">
        <v>3294</v>
      </c>
      <c r="J253" s="54"/>
      <c r="K253" s="54"/>
      <c r="L253" s="54"/>
    </row>
    <row r="254" spans="1:12">
      <c r="A254" s="99" t="s">
        <v>1585</v>
      </c>
      <c r="B254" s="100" t="str">
        <f>Tabelle14[[#This Row],[Dateiname]]</f>
        <v>rollstuhl</v>
      </c>
      <c r="C254" s="101" t="s">
        <v>2247</v>
      </c>
      <c r="D254" s="9" t="s">
        <v>3063</v>
      </c>
      <c r="E254" s="30"/>
      <c r="F254" s="54" t="s">
        <v>3088</v>
      </c>
      <c r="G254" s="54" t="s">
        <v>3296</v>
      </c>
      <c r="H254" s="54"/>
      <c r="I254" s="54" t="s">
        <v>3263</v>
      </c>
      <c r="J254" s="54"/>
      <c r="K254" s="54"/>
      <c r="L254" s="54"/>
    </row>
    <row r="255" spans="1:12">
      <c r="A255" s="99" t="s">
        <v>3064</v>
      </c>
      <c r="B255" s="100" t="str">
        <f>Tabelle14[[#This Row],[Dateiname]]</f>
        <v>liegestuhl</v>
      </c>
      <c r="C255" s="101" t="s">
        <v>2247</v>
      </c>
      <c r="D255" s="9" t="s">
        <v>3065</v>
      </c>
      <c r="E255" s="30"/>
      <c r="F255" s="54" t="s">
        <v>3264</v>
      </c>
      <c r="G255" s="54" t="s">
        <v>3297</v>
      </c>
      <c r="H255" s="54"/>
      <c r="I255" s="54" t="s">
        <v>3264</v>
      </c>
      <c r="J255" s="54"/>
      <c r="K255" s="54"/>
      <c r="L255" s="54"/>
    </row>
    <row r="256" spans="1:12">
      <c r="A256" s="99" t="s">
        <v>887</v>
      </c>
      <c r="B256" s="100" t="str">
        <f>Tabelle14[[#This Row],[Dateiname]]</f>
        <v>paragraf</v>
      </c>
      <c r="C256" s="101" t="s">
        <v>2247</v>
      </c>
      <c r="D256" s="9" t="s">
        <v>3066</v>
      </c>
      <c r="E256" s="30"/>
      <c r="F256" s="54" t="s">
        <v>3265</v>
      </c>
      <c r="G256" s="54" t="s">
        <v>3298</v>
      </c>
      <c r="H256" s="54"/>
      <c r="I256" s="54" t="s">
        <v>3265</v>
      </c>
      <c r="J256" s="54"/>
      <c r="K256" s="54"/>
      <c r="L256" s="54"/>
    </row>
    <row r="257" spans="1:12">
      <c r="A257" s="99" t="s">
        <v>1787</v>
      </c>
      <c r="B257" s="100" t="str">
        <f>Tabelle14[[#This Row],[Dateiname]]</f>
        <v>muskeln</v>
      </c>
      <c r="C257" s="101" t="s">
        <v>2247</v>
      </c>
      <c r="D257" s="9" t="s">
        <v>3067</v>
      </c>
      <c r="E257" s="30"/>
      <c r="F257" s="54" t="s">
        <v>3266</v>
      </c>
      <c r="G257" s="54" t="s">
        <v>3299</v>
      </c>
      <c r="H257" s="54"/>
      <c r="I257" s="54" t="s">
        <v>3266</v>
      </c>
      <c r="J257" s="54"/>
      <c r="K257" s="54"/>
      <c r="L257" s="54"/>
    </row>
    <row r="258" spans="1:12">
      <c r="A258" s="99" t="s">
        <v>1175</v>
      </c>
      <c r="B258" s="100" t="str">
        <f>Tabelle14[[#This Row],[Dateiname]]</f>
        <v>eisbecher</v>
      </c>
      <c r="C258" s="101" t="s">
        <v>2247</v>
      </c>
      <c r="D258" s="9" t="s">
        <v>3068</v>
      </c>
      <c r="E258" s="30"/>
      <c r="F258" s="54" t="s">
        <v>3267</v>
      </c>
      <c r="G258" s="98" t="s">
        <v>3300</v>
      </c>
      <c r="H258" s="54"/>
      <c r="I258" s="54" t="s">
        <v>3267</v>
      </c>
      <c r="J258" s="54"/>
      <c r="K258" s="54"/>
      <c r="L258" s="54"/>
    </row>
    <row r="259" spans="1:12">
      <c r="A259" s="99" t="s">
        <v>1811</v>
      </c>
      <c r="B259" s="100" t="str">
        <f>Tabelle14[[#This Row],[Dateiname]]</f>
        <v>fernrohr</v>
      </c>
      <c r="C259" s="101" t="s">
        <v>2247</v>
      </c>
      <c r="D259" s="9" t="s">
        <v>3069</v>
      </c>
      <c r="E259" s="30"/>
      <c r="F259" s="54" t="s">
        <v>3301</v>
      </c>
      <c r="G259" s="54" t="s">
        <v>3268</v>
      </c>
      <c r="H259" s="54"/>
      <c r="I259" s="54" t="s">
        <v>3301</v>
      </c>
      <c r="J259" s="54"/>
      <c r="K259" s="54"/>
      <c r="L259" s="54"/>
    </row>
    <row r="260" spans="1:12">
      <c r="A260" s="99" t="s">
        <v>3070</v>
      </c>
      <c r="B260" s="100" t="str">
        <f>Tabelle14[[#This Row],[Dateiname]]</f>
        <v>fernglas</v>
      </c>
      <c r="C260" s="101" t="s">
        <v>2247</v>
      </c>
      <c r="D260" s="9" t="s">
        <v>3071</v>
      </c>
      <c r="E260" s="30"/>
      <c r="F260" s="54" t="s">
        <v>3284</v>
      </c>
      <c r="G260" s="54" t="s">
        <v>3302</v>
      </c>
      <c r="H260" s="54"/>
      <c r="I260" s="54" t="s">
        <v>3284</v>
      </c>
      <c r="J260" s="54"/>
      <c r="K260" s="54"/>
      <c r="L260" s="54"/>
    </row>
    <row r="261" spans="1:12">
      <c r="A261" s="99" t="s">
        <v>3072</v>
      </c>
      <c r="B261" s="100" t="str">
        <f>Tabelle14[[#This Row],[Dateiname]]</f>
        <v>gaehnen</v>
      </c>
      <c r="C261" s="101" t="s">
        <v>2247</v>
      </c>
      <c r="D261" s="9" t="s">
        <v>3073</v>
      </c>
      <c r="E261" s="30"/>
      <c r="F261" s="54" t="s">
        <v>3303</v>
      </c>
      <c r="G261" s="54" t="s">
        <v>3304</v>
      </c>
      <c r="H261" s="54"/>
      <c r="I261" s="54" t="s">
        <v>3305</v>
      </c>
      <c r="J261" s="54"/>
      <c r="K261" s="54"/>
      <c r="L261" s="54"/>
    </row>
    <row r="262" spans="1:12">
      <c r="A262" s="99" t="s">
        <v>2260</v>
      </c>
      <c r="B262" s="100" t="str">
        <f>Tabelle14[[#This Row],[Dateiname]]</f>
        <v>dschungel</v>
      </c>
      <c r="C262" s="101" t="s">
        <v>2247</v>
      </c>
      <c r="D262" s="9" t="s">
        <v>3074</v>
      </c>
      <c r="E262" s="30"/>
      <c r="F262" s="54" t="s">
        <v>3089</v>
      </c>
      <c r="G262" s="54" t="s">
        <v>3306</v>
      </c>
      <c r="H262" s="54"/>
      <c r="I262" s="54" t="s">
        <v>3285</v>
      </c>
      <c r="J262" s="54"/>
      <c r="K262" s="54"/>
      <c r="L262" s="54"/>
    </row>
    <row r="263" spans="1:12">
      <c r="A263" s="99" t="s">
        <v>1811</v>
      </c>
      <c r="B263" s="100" t="str">
        <f>Tabelle14[[#This Row],[Dateiname]]</f>
        <v>eis</v>
      </c>
      <c r="C263" s="101" t="s">
        <v>2247</v>
      </c>
      <c r="D263" s="9" t="s">
        <v>3075</v>
      </c>
      <c r="E263" s="30"/>
      <c r="F263" s="54" t="s">
        <v>3090</v>
      </c>
      <c r="G263" s="54" t="s">
        <v>3307</v>
      </c>
      <c r="H263" s="54"/>
      <c r="I263" s="54" t="s">
        <v>3286</v>
      </c>
      <c r="J263" s="54"/>
      <c r="K263" s="54"/>
      <c r="L263" s="54"/>
    </row>
    <row r="264" spans="1:12">
      <c r="A264" s="99" t="s">
        <v>48</v>
      </c>
      <c r="B264" s="100" t="str">
        <f>Tabelle14[[#This Row],[Dateiname]]</f>
        <v>thermometer</v>
      </c>
      <c r="C264" s="101" t="s">
        <v>2247</v>
      </c>
      <c r="D264" s="9" t="s">
        <v>3076</v>
      </c>
      <c r="E264" s="30"/>
      <c r="F264" s="54" t="s">
        <v>3308</v>
      </c>
      <c r="G264" s="54" t="s">
        <v>3308</v>
      </c>
      <c r="H264" s="54"/>
      <c r="I264" s="54" t="s">
        <v>3308</v>
      </c>
      <c r="J264" s="54"/>
      <c r="K264" s="54"/>
      <c r="L264" s="54"/>
    </row>
    <row r="265" spans="1:12">
      <c r="A265" s="99" t="s">
        <v>1725</v>
      </c>
      <c r="B265" s="100" t="str">
        <f>Tabelle14[[#This Row],[Dateiname]]</f>
        <v>sauna</v>
      </c>
      <c r="C265" s="101" t="s">
        <v>2247</v>
      </c>
      <c r="D265" s="9" t="s">
        <v>3077</v>
      </c>
      <c r="E265" s="30"/>
      <c r="F265" s="54" t="s">
        <v>3287</v>
      </c>
      <c r="G265" s="54" t="s">
        <v>3287</v>
      </c>
      <c r="H265" s="54"/>
      <c r="I265" s="54" t="s">
        <v>3287</v>
      </c>
      <c r="J265" s="54"/>
      <c r="K265" s="54"/>
      <c r="L265" s="54"/>
    </row>
    <row r="266" spans="1:12">
      <c r="A266" s="99" t="s">
        <v>3078</v>
      </c>
      <c r="B266" s="100" t="str">
        <f>Tabelle14[[#This Row],[Dateiname]]</f>
        <v>kasse</v>
      </c>
      <c r="C266" s="101" t="s">
        <v>2247</v>
      </c>
      <c r="D266" s="9" t="s">
        <v>3079</v>
      </c>
      <c r="E266" s="30"/>
      <c r="F266" s="54" t="s">
        <v>3309</v>
      </c>
      <c r="G266" s="54" t="s">
        <v>3310</v>
      </c>
      <c r="H266" s="54"/>
      <c r="I266" s="54" t="s">
        <v>3309</v>
      </c>
      <c r="J266" s="54"/>
      <c r="K266" s="54"/>
      <c r="L266" s="54"/>
    </row>
    <row r="267" spans="1:12">
      <c r="A267" s="99" t="s">
        <v>3080</v>
      </c>
      <c r="B267" s="100" t="str">
        <f>Tabelle14[[#This Row],[Dateiname]]</f>
        <v>chor</v>
      </c>
      <c r="C267" s="101" t="s">
        <v>2247</v>
      </c>
      <c r="D267" s="9" t="s">
        <v>3081</v>
      </c>
      <c r="E267" s="30"/>
      <c r="F267" s="54" t="s">
        <v>3091</v>
      </c>
      <c r="G267" s="54" t="s">
        <v>3311</v>
      </c>
      <c r="H267" s="54"/>
      <c r="I267" s="54" t="s">
        <v>3288</v>
      </c>
      <c r="J267" s="54"/>
      <c r="K267" s="54"/>
      <c r="L267" s="54"/>
    </row>
    <row r="268" spans="1:12">
      <c r="A268" s="99" t="s">
        <v>3082</v>
      </c>
      <c r="B268" s="100" t="str">
        <f>Tabelle14[[#This Row],[Dateiname]]</f>
        <v>skateboard</v>
      </c>
      <c r="C268" s="101" t="s">
        <v>2247</v>
      </c>
      <c r="D268" s="9" t="s">
        <v>3083</v>
      </c>
      <c r="E268" s="30"/>
      <c r="F268" s="54" t="s">
        <v>3312</v>
      </c>
      <c r="G268" s="54" t="s">
        <v>3312</v>
      </c>
      <c r="H268" s="54"/>
      <c r="I268" s="54" t="s">
        <v>3312</v>
      </c>
      <c r="J268" s="54"/>
      <c r="K268" s="54"/>
      <c r="L268" s="54"/>
    </row>
    <row r="269" spans="1:12">
      <c r="A269" s="99" t="s">
        <v>3276</v>
      </c>
      <c r="B269" s="100" t="str">
        <f>Tabelle14[[#This Row],[Dateiname]]</f>
        <v>waage</v>
      </c>
      <c r="C269" s="101" t="s">
        <v>2247</v>
      </c>
      <c r="D269" s="9" t="s">
        <v>3275</v>
      </c>
      <c r="E269" s="30"/>
      <c r="F269" s="54" t="s">
        <v>425</v>
      </c>
      <c r="G269" s="54" t="s">
        <v>3277</v>
      </c>
      <c r="H269" s="54"/>
      <c r="I269" s="54" t="s">
        <v>425</v>
      </c>
      <c r="J269" s="54"/>
      <c r="K269" s="54"/>
      <c r="L269" s="54"/>
    </row>
    <row r="270" spans="1:12">
      <c r="A270" s="99" t="s">
        <v>1585</v>
      </c>
      <c r="B270" s="100" t="str">
        <f>Tabelle14[[#This Row],[Dateiname]]</f>
        <v>gerechtigkeit</v>
      </c>
      <c r="C270" s="101" t="s">
        <v>2247</v>
      </c>
      <c r="D270" s="9" t="s">
        <v>3278</v>
      </c>
      <c r="E270" s="30"/>
      <c r="F270" s="54" t="s">
        <v>3236</v>
      </c>
      <c r="G270" s="54" t="s">
        <v>3279</v>
      </c>
      <c r="H270" s="54"/>
      <c r="I270" s="54" t="s">
        <v>3236</v>
      </c>
      <c r="J270" s="54"/>
      <c r="K270" s="54"/>
      <c r="L270" s="54"/>
    </row>
    <row r="271" spans="1:12">
      <c r="A271" s="6" t="s">
        <v>48</v>
      </c>
      <c r="B271" s="7" t="str">
        <f>Tabelle14[[#This Row],[Dateiname]]</f>
        <v>pegasus</v>
      </c>
      <c r="C271" s="2" t="s">
        <v>2247</v>
      </c>
      <c r="D271" s="9" t="s">
        <v>3315</v>
      </c>
      <c r="E271" s="30"/>
      <c r="F271" t="s">
        <v>3316</v>
      </c>
      <c r="G271" t="s">
        <v>3316</v>
      </c>
      <c r="I271" t="s">
        <v>3316</v>
      </c>
      <c r="L271" t="s">
        <v>3317</v>
      </c>
    </row>
  </sheetData>
  <conditionalFormatting sqref="F1 H3:H22 H26:H121 F3:F125 F127:F136 I127:I136 F152:F1048576">
    <cfRule type="containsText" dxfId="20" priority="8" operator="containsText" text="ß">
      <formula>NOT(ISERROR(SEARCH("ß",F1)))</formula>
    </cfRule>
  </conditionalFormatting>
  <conditionalFormatting sqref="E3:E22 O13:O24 E27:E136 E152:E1048576">
    <cfRule type="cellIs" dxfId="19" priority="7" operator="equal">
      <formula>"NEU"</formula>
    </cfRule>
  </conditionalFormatting>
  <conditionalFormatting sqref="I152:I1048576 I3:I121 I1">
    <cfRule type="duplicateValues" dxfId="18" priority="5"/>
  </conditionalFormatting>
  <conditionalFormatting sqref="G83">
    <cfRule type="duplicateValues" dxfId="17" priority="3"/>
  </conditionalFormatting>
  <conditionalFormatting sqref="E1">
    <cfRule type="containsText" dxfId="16" priority="2" operator="containsText" text="ß">
      <formula>NOT(ISERROR(SEARCH("ß",E1)))</formula>
    </cfRule>
  </conditionalFormatting>
  <conditionalFormatting sqref="I122:I125">
    <cfRule type="containsText" dxfId="1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2984</v>
      </c>
      <c r="D4" s="56" t="s">
        <v>2985</v>
      </c>
      <c r="E4" s="56" t="s">
        <v>1906</v>
      </c>
      <c r="F4" s="56" t="s">
        <v>249</v>
      </c>
      <c r="G4" s="56" t="s">
        <v>1218</v>
      </c>
      <c r="H4" s="56" t="s">
        <v>2128</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G30" sqref="G30"/>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03" t="s">
        <v>1513</v>
      </c>
      <c r="B1" s="104"/>
      <c r="C1" s="104"/>
      <c r="D1" s="104"/>
      <c r="E1" s="105"/>
      <c r="G1" s="31" t="s">
        <v>786</v>
      </c>
    </row>
    <row r="2" spans="1:9">
      <c r="A2" t="s">
        <v>1520</v>
      </c>
      <c r="B2" t="s">
        <v>1515</v>
      </c>
      <c r="C2" t="s">
        <v>1516</v>
      </c>
      <c r="D2" t="s">
        <v>1517</v>
      </c>
      <c r="E2" t="s">
        <v>1518</v>
      </c>
      <c r="G2" t="s">
        <v>311</v>
      </c>
    </row>
    <row r="3" spans="1:9">
      <c r="A3" t="s">
        <v>1519</v>
      </c>
      <c r="B3" t="s">
        <v>365</v>
      </c>
      <c r="C3" t="s">
        <v>1523</v>
      </c>
      <c r="D3" s="11" t="s">
        <v>1522</v>
      </c>
      <c r="E3" t="s">
        <v>2236</v>
      </c>
      <c r="G3" t="s">
        <v>787</v>
      </c>
    </row>
    <row r="4" spans="1:9">
      <c r="A4" t="s">
        <v>1519</v>
      </c>
      <c r="B4" t="s">
        <v>1525</v>
      </c>
      <c r="C4" t="s">
        <v>887</v>
      </c>
      <c r="D4" s="11" t="s">
        <v>1508</v>
      </c>
      <c r="E4" t="s">
        <v>2236</v>
      </c>
      <c r="G4" t="s">
        <v>788</v>
      </c>
    </row>
    <row r="5" spans="1:9">
      <c r="A5" t="s">
        <v>1519</v>
      </c>
      <c r="B5" t="s">
        <v>1208</v>
      </c>
      <c r="C5" t="s">
        <v>72</v>
      </c>
      <c r="D5" s="11" t="s">
        <v>1524</v>
      </c>
      <c r="E5" t="s">
        <v>2236</v>
      </c>
      <c r="G5" t="s">
        <v>1216</v>
      </c>
      <c r="H5" t="s">
        <v>948</v>
      </c>
    </row>
    <row r="6" spans="1:9">
      <c r="A6" t="s">
        <v>1519</v>
      </c>
      <c r="B6" t="s">
        <v>52</v>
      </c>
      <c r="C6" t="s">
        <v>67</v>
      </c>
      <c r="D6" s="11" t="s">
        <v>1521</v>
      </c>
      <c r="E6" t="s">
        <v>2236</v>
      </c>
    </row>
    <row r="7" spans="1:9">
      <c r="A7" t="s">
        <v>1530</v>
      </c>
      <c r="B7" t="s">
        <v>1531</v>
      </c>
      <c r="C7" t="s">
        <v>72</v>
      </c>
      <c r="D7" s="11" t="s">
        <v>954</v>
      </c>
      <c r="E7" t="s">
        <v>1543</v>
      </c>
      <c r="G7" s="31" t="s">
        <v>782</v>
      </c>
    </row>
    <row r="8" spans="1:9">
      <c r="A8" t="s">
        <v>1530</v>
      </c>
      <c r="B8" t="s">
        <v>1531</v>
      </c>
      <c r="C8" t="s">
        <v>72</v>
      </c>
      <c r="D8" s="11" t="s">
        <v>955</v>
      </c>
      <c r="E8" t="s">
        <v>1543</v>
      </c>
      <c r="G8" t="s">
        <v>783</v>
      </c>
      <c r="H8" t="s">
        <v>789</v>
      </c>
    </row>
    <row r="9" spans="1:9">
      <c r="A9" t="s">
        <v>657</v>
      </c>
      <c r="B9" t="s">
        <v>1531</v>
      </c>
      <c r="C9" t="s">
        <v>975</v>
      </c>
      <c r="D9" s="11" t="s">
        <v>1202</v>
      </c>
      <c r="G9" t="s">
        <v>784</v>
      </c>
      <c r="H9" t="s">
        <v>790</v>
      </c>
    </row>
    <row r="10" spans="1:9">
      <c r="A10" t="s">
        <v>1532</v>
      </c>
      <c r="B10" t="s">
        <v>1559</v>
      </c>
      <c r="C10" t="s">
        <v>1560</v>
      </c>
      <c r="D10" s="11" t="s">
        <v>1561</v>
      </c>
      <c r="E10" t="s">
        <v>1562</v>
      </c>
      <c r="G10" t="s">
        <v>785</v>
      </c>
      <c r="H10" t="s">
        <v>791</v>
      </c>
    </row>
    <row r="11" spans="1:9">
      <c r="A11" t="s">
        <v>1532</v>
      </c>
      <c r="B11" t="s">
        <v>1558</v>
      </c>
      <c r="C11" t="s">
        <v>72</v>
      </c>
      <c r="D11" s="11" t="s">
        <v>1549</v>
      </c>
    </row>
    <row r="12" spans="1:9">
      <c r="A12" t="s">
        <v>1532</v>
      </c>
      <c r="B12" t="s">
        <v>1204</v>
      </c>
      <c r="C12" t="s">
        <v>67</v>
      </c>
      <c r="D12" s="11" t="s">
        <v>1205</v>
      </c>
      <c r="E12" t="s">
        <v>1808</v>
      </c>
      <c r="G12" s="31" t="s">
        <v>777</v>
      </c>
    </row>
    <row r="13" spans="1:9">
      <c r="A13" t="s">
        <v>1532</v>
      </c>
      <c r="B13" t="s">
        <v>1828</v>
      </c>
      <c r="C13" t="s">
        <v>72</v>
      </c>
      <c r="D13" s="11" t="s">
        <v>1533</v>
      </c>
      <c r="E13" t="s">
        <v>1534</v>
      </c>
      <c r="G13" t="s">
        <v>796</v>
      </c>
      <c r="H13" s="102" t="s">
        <v>795</v>
      </c>
      <c r="I13" s="102"/>
    </row>
    <row r="14" spans="1:9">
      <c r="A14" t="s">
        <v>1532</v>
      </c>
      <c r="B14" t="s">
        <v>1540</v>
      </c>
      <c r="C14" t="s">
        <v>67</v>
      </c>
      <c r="D14" s="11" t="s">
        <v>1539</v>
      </c>
      <c r="G14" t="s">
        <v>779</v>
      </c>
      <c r="H14" s="102"/>
      <c r="I14" s="102"/>
    </row>
    <row r="15" spans="1:9">
      <c r="A15" t="s">
        <v>1532</v>
      </c>
      <c r="B15" t="s">
        <v>1809</v>
      </c>
      <c r="C15" t="s">
        <v>1585</v>
      </c>
      <c r="D15" s="11" t="s">
        <v>1810</v>
      </c>
      <c r="E15" t="s">
        <v>1808</v>
      </c>
      <c r="G15" t="s">
        <v>778</v>
      </c>
      <c r="H15" s="102"/>
      <c r="I15" s="102"/>
    </row>
    <row r="16" spans="1:9">
      <c r="A16" t="s">
        <v>1532</v>
      </c>
      <c r="B16" t="s">
        <v>1805</v>
      </c>
      <c r="C16" t="s">
        <v>1806</v>
      </c>
      <c r="D16" s="11" t="s">
        <v>1807</v>
      </c>
      <c r="E16" t="s">
        <v>1808</v>
      </c>
      <c r="G16" t="s">
        <v>797</v>
      </c>
      <c r="H16" s="102" t="s">
        <v>792</v>
      </c>
      <c r="I16" t="s">
        <v>793</v>
      </c>
    </row>
    <row r="17" spans="1:9">
      <c r="A17" t="s">
        <v>1532</v>
      </c>
      <c r="B17" t="s">
        <v>1825</v>
      </c>
      <c r="C17" t="s">
        <v>67</v>
      </c>
      <c r="D17" s="11" t="s">
        <v>1512</v>
      </c>
      <c r="E17" t="s">
        <v>1808</v>
      </c>
      <c r="G17" t="s">
        <v>780</v>
      </c>
      <c r="H17" s="102"/>
    </row>
    <row r="18" spans="1:9">
      <c r="A18" t="s">
        <v>1532</v>
      </c>
      <c r="B18" t="s">
        <v>1822</v>
      </c>
      <c r="C18" t="s">
        <v>1585</v>
      </c>
      <c r="D18" s="11" t="s">
        <v>1823</v>
      </c>
      <c r="E18" t="s">
        <v>1824</v>
      </c>
      <c r="G18" t="s">
        <v>781</v>
      </c>
      <c r="H18" s="102"/>
      <c r="I18" t="s">
        <v>794</v>
      </c>
    </row>
    <row r="19" spans="1:9">
      <c r="A19" t="s">
        <v>1532</v>
      </c>
      <c r="B19" t="s">
        <v>1827</v>
      </c>
      <c r="C19" t="s">
        <v>72</v>
      </c>
      <c r="D19" s="11" t="s">
        <v>1546</v>
      </c>
    </row>
    <row r="20" spans="1:9">
      <c r="A20" t="s">
        <v>1532</v>
      </c>
      <c r="B20" t="s">
        <v>1826</v>
      </c>
      <c r="C20" t="s">
        <v>922</v>
      </c>
      <c r="D20" s="11" t="s">
        <v>1507</v>
      </c>
      <c r="E20" t="s">
        <v>1547</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t="s">
        <v>1528</v>
      </c>
      <c r="B23" t="s">
        <v>1541</v>
      </c>
      <c r="C23" t="s">
        <v>72</v>
      </c>
      <c r="D23" s="11" t="s">
        <v>1542</v>
      </c>
      <c r="G23" t="s">
        <v>2238</v>
      </c>
      <c r="H23" s="11"/>
    </row>
    <row r="24" spans="1:9">
      <c r="A24" s="15" t="s">
        <v>1528</v>
      </c>
      <c r="B24" s="15" t="s">
        <v>1544</v>
      </c>
      <c r="C24" s="15" t="s">
        <v>67</v>
      </c>
      <c r="D24" s="11" t="s">
        <v>1545</v>
      </c>
      <c r="E24" s="15" t="s">
        <v>1206</v>
      </c>
      <c r="G24" s="11" t="s">
        <v>2237</v>
      </c>
    </row>
    <row r="25" spans="1:9">
      <c r="A25" t="s">
        <v>1514</v>
      </c>
      <c r="B25" t="s">
        <v>1526</v>
      </c>
      <c r="C25" t="s">
        <v>72</v>
      </c>
      <c r="D25" s="11" t="s">
        <v>920</v>
      </c>
      <c r="E25" t="s">
        <v>1527</v>
      </c>
    </row>
    <row r="26" spans="1:9">
      <c r="A26" t="s">
        <v>1514</v>
      </c>
      <c r="B26" t="s">
        <v>1537</v>
      </c>
      <c r="C26" t="s">
        <v>67</v>
      </c>
      <c r="D26" s="11" t="s">
        <v>1538</v>
      </c>
    </row>
    <row r="27" spans="1:9">
      <c r="A27" t="s">
        <v>1514</v>
      </c>
      <c r="B27" t="s">
        <v>1203</v>
      </c>
      <c r="C27" t="s">
        <v>918</v>
      </c>
      <c r="D27" s="11" t="s">
        <v>919</v>
      </c>
    </row>
    <row r="28" spans="1:9">
      <c r="A28" t="s">
        <v>1514</v>
      </c>
      <c r="B28" t="s">
        <v>921</v>
      </c>
      <c r="C28" t="s">
        <v>67</v>
      </c>
      <c r="D28" s="11" t="s">
        <v>923</v>
      </c>
    </row>
    <row r="29" spans="1:9">
      <c r="A29" t="s">
        <v>1514</v>
      </c>
      <c r="B29" t="s">
        <v>1535</v>
      </c>
      <c r="C29" t="s">
        <v>72</v>
      </c>
      <c r="D29" s="11" t="s">
        <v>1536</v>
      </c>
      <c r="E29" t="s">
        <v>1824</v>
      </c>
    </row>
    <row r="30" spans="1:9">
      <c r="A30" t="s">
        <v>1530</v>
      </c>
      <c r="B30" t="s">
        <v>1829</v>
      </c>
      <c r="C30" t="s">
        <v>1585</v>
      </c>
      <c r="D30" s="11" t="s">
        <v>1548</v>
      </c>
      <c r="E30" t="s">
        <v>1830</v>
      </c>
    </row>
    <row r="31" spans="1:9">
      <c r="A31" t="s">
        <v>1528</v>
      </c>
      <c r="B31" t="s">
        <v>1995</v>
      </c>
      <c r="C31" t="s">
        <v>1585</v>
      </c>
      <c r="D31" s="11" t="s">
        <v>1993</v>
      </c>
    </row>
    <row r="32" spans="1:9">
      <c r="A32" t="s">
        <v>1514</v>
      </c>
      <c r="B32" t="s">
        <v>2234</v>
      </c>
      <c r="C32" t="s">
        <v>1811</v>
      </c>
      <c r="D32" s="11" t="s">
        <v>2235</v>
      </c>
    </row>
    <row r="33" spans="1:5">
      <c r="A33" t="s">
        <v>2240</v>
      </c>
      <c r="B33" t="s">
        <v>2329</v>
      </c>
      <c r="C33" t="s">
        <v>1585</v>
      </c>
      <c r="D33" s="11" t="s">
        <v>2239</v>
      </c>
    </row>
    <row r="34" spans="1:5">
      <c r="A34" t="s">
        <v>2240</v>
      </c>
      <c r="B34" t="s">
        <v>670</v>
      </c>
      <c r="C34" t="s">
        <v>1806</v>
      </c>
      <c r="D34" s="11" t="s">
        <v>2241</v>
      </c>
      <c r="E34" t="s">
        <v>1824</v>
      </c>
    </row>
    <row r="35" spans="1:5">
      <c r="A35" t="s">
        <v>2240</v>
      </c>
      <c r="B35" t="s">
        <v>2246</v>
      </c>
      <c r="C35" t="s">
        <v>2242</v>
      </c>
      <c r="D35" s="11" t="s">
        <v>2243</v>
      </c>
      <c r="E35" t="s">
        <v>2244</v>
      </c>
    </row>
    <row r="36" spans="1:5">
      <c r="A36" t="s">
        <v>2240</v>
      </c>
      <c r="B36" t="s">
        <v>2328</v>
      </c>
      <c r="C36" t="s">
        <v>1585</v>
      </c>
      <c r="D36" s="11" t="s">
        <v>2245</v>
      </c>
    </row>
    <row r="37" spans="1:5">
      <c r="A37" t="s">
        <v>2240</v>
      </c>
      <c r="B37" t="s">
        <v>1069</v>
      </c>
      <c r="C37" t="s">
        <v>1585</v>
      </c>
      <c r="D37" s="11" t="s">
        <v>2327</v>
      </c>
      <c r="E37" t="s">
        <v>2330</v>
      </c>
    </row>
    <row r="38" spans="1:5">
      <c r="A38" t="s">
        <v>2467</v>
      </c>
      <c r="B38" t="s">
        <v>2468</v>
      </c>
      <c r="C38" t="s">
        <v>1811</v>
      </c>
      <c r="D38" s="11" t="s">
        <v>2469</v>
      </c>
    </row>
  </sheetData>
  <mergeCells count="3">
    <mergeCell ref="H16:H18"/>
    <mergeCell ref="H13:I15"/>
    <mergeCell ref="A1:E1"/>
  </mergeCells>
  <hyperlinks>
    <hyperlink ref="D27" r:id="rId1"/>
    <hyperlink ref="D25" r:id="rId2"/>
    <hyperlink ref="D28"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9" r:id="rId16"/>
    <hyperlink ref="D26" r:id="rId17"/>
    <hyperlink ref="D14" r:id="rId18"/>
    <hyperlink ref="D23" r:id="rId19"/>
    <hyperlink ref="D24" r:id="rId20"/>
    <hyperlink ref="D19" r:id="rId21"/>
    <hyperlink ref="D11" r:id="rId22"/>
    <hyperlink ref="D13" r:id="rId23"/>
    <hyperlink ref="D10" r:id="rId24"/>
    <hyperlink ref="D17" r:id="rId25"/>
    <hyperlink ref="D16" r:id="rId26"/>
    <hyperlink ref="D15" r:id="rId27"/>
    <hyperlink ref="D18" r:id="rId28"/>
    <hyperlink ref="D30" r:id="rId29"/>
    <hyperlink ref="D31" r:id="rId30"/>
    <hyperlink ref="D32" r:id="rId31"/>
    <hyperlink ref="G24"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M81"/>
  <sheetViews>
    <sheetView windowProtection="1" zoomScale="90" zoomScaleNormal="90" workbookViewId="0">
      <pane ySplit="1" topLeftCell="A50" activePane="bottomLeft" state="frozen"/>
      <selection pane="bottomLeft" activeCell="D54" sqref="D54"/>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4" t="s">
        <v>2130</v>
      </c>
      <c r="C1" s="94" t="s">
        <v>2143</v>
      </c>
      <c r="D1" s="37" t="s">
        <v>2144</v>
      </c>
      <c r="E1" s="94" t="s">
        <v>2131</v>
      </c>
      <c r="F1" s="96" t="s">
        <v>2375</v>
      </c>
      <c r="G1" s="95" t="s">
        <v>2417</v>
      </c>
      <c r="H1" s="94" t="s">
        <v>2132</v>
      </c>
      <c r="J1" s="36" t="s">
        <v>2145</v>
      </c>
      <c r="K1" s="36" t="s">
        <v>2148</v>
      </c>
      <c r="L1" s="36" t="s">
        <v>2147</v>
      </c>
      <c r="M1" s="36" t="s">
        <v>2146</v>
      </c>
    </row>
    <row r="2" spans="1:13" ht="30">
      <c r="A2" s="107" t="s">
        <v>2159</v>
      </c>
      <c r="B2" s="84" t="s">
        <v>2310</v>
      </c>
      <c r="C2" s="84" t="s">
        <v>2311</v>
      </c>
      <c r="D2" s="91" t="s">
        <v>2316</v>
      </c>
      <c r="E2" s="91" t="s">
        <v>2312</v>
      </c>
      <c r="F2" s="92"/>
      <c r="G2" s="91"/>
      <c r="H2" s="91" t="s">
        <v>2315</v>
      </c>
      <c r="I2" s="34"/>
      <c r="J2">
        <f t="shared" ref="J2:J13" si="0">IF(B2=0,"",LEN(B2))</f>
        <v>13</v>
      </c>
      <c r="K2">
        <f t="shared" ref="K2:K13" si="1">IF(C2=0,"",LEN(C2))</f>
        <v>10</v>
      </c>
      <c r="L2">
        <f t="shared" ref="L2:L13" si="2">IF(D2=0,"",LEN(D2))</f>
        <v>14</v>
      </c>
      <c r="M2">
        <f t="shared" ref="M2:M13" si="3">IF(E2=0,"",LEN(E2))</f>
        <v>13</v>
      </c>
    </row>
    <row r="3" spans="1:13" ht="30" customHeight="1">
      <c r="A3" s="107"/>
      <c r="B3" s="65" t="s">
        <v>2160</v>
      </c>
      <c r="C3" s="65" t="s">
        <v>2161</v>
      </c>
      <c r="D3" s="35" t="s">
        <v>2386</v>
      </c>
      <c r="E3" s="65" t="s">
        <v>3162</v>
      </c>
      <c r="F3" s="66"/>
      <c r="G3" s="65"/>
      <c r="H3" s="65"/>
      <c r="J3">
        <f t="shared" si="0"/>
        <v>16</v>
      </c>
      <c r="K3">
        <f t="shared" si="1"/>
        <v>12</v>
      </c>
      <c r="L3">
        <f t="shared" si="2"/>
        <v>66</v>
      </c>
      <c r="M3">
        <f t="shared" si="3"/>
        <v>62</v>
      </c>
    </row>
    <row r="4" spans="1:13">
      <c r="A4" s="107"/>
      <c r="B4" s="65" t="s">
        <v>2317</v>
      </c>
      <c r="C4" s="65" t="s">
        <v>2133</v>
      </c>
      <c r="D4" s="35" t="s">
        <v>2324</v>
      </c>
      <c r="E4" s="65" t="s">
        <v>2325</v>
      </c>
      <c r="F4" s="66"/>
      <c r="G4" s="65"/>
      <c r="H4" s="65"/>
      <c r="J4">
        <f t="shared" si="0"/>
        <v>12</v>
      </c>
      <c r="K4">
        <f t="shared" si="1"/>
        <v>13</v>
      </c>
      <c r="L4">
        <f t="shared" si="2"/>
        <v>51</v>
      </c>
      <c r="M4">
        <f t="shared" si="3"/>
        <v>58</v>
      </c>
    </row>
    <row r="5" spans="1:13">
      <c r="A5" s="107"/>
      <c r="B5" s="84" t="s">
        <v>2165</v>
      </c>
      <c r="C5" s="84" t="s">
        <v>2166</v>
      </c>
      <c r="D5" s="35" t="s">
        <v>2198</v>
      </c>
      <c r="E5" s="65" t="s">
        <v>2199</v>
      </c>
      <c r="F5" s="66"/>
      <c r="G5" s="65"/>
      <c r="H5" s="65"/>
      <c r="J5">
        <f t="shared" si="0"/>
        <v>15</v>
      </c>
      <c r="K5">
        <f t="shared" si="1"/>
        <v>12</v>
      </c>
      <c r="L5">
        <f t="shared" si="2"/>
        <v>51</v>
      </c>
      <c r="M5">
        <f t="shared" si="3"/>
        <v>50</v>
      </c>
    </row>
    <row r="6" spans="1:13" ht="30">
      <c r="A6" s="107"/>
      <c r="B6" s="65" t="s">
        <v>2318</v>
      </c>
      <c r="C6" s="65" t="s">
        <v>2318</v>
      </c>
      <c r="D6" s="35" t="s">
        <v>2320</v>
      </c>
      <c r="E6" s="65" t="s">
        <v>2319</v>
      </c>
      <c r="F6" s="66"/>
      <c r="G6" s="65" t="s">
        <v>2416</v>
      </c>
      <c r="H6" s="65"/>
      <c r="J6">
        <f t="shared" si="0"/>
        <v>16</v>
      </c>
      <c r="K6">
        <f t="shared" si="1"/>
        <v>16</v>
      </c>
      <c r="L6">
        <f t="shared" si="2"/>
        <v>50</v>
      </c>
      <c r="M6">
        <f t="shared" si="3"/>
        <v>66</v>
      </c>
    </row>
    <row r="7" spans="1:13" s="34" customFormat="1">
      <c r="A7" s="107"/>
      <c r="B7" s="93" t="s">
        <v>2313</v>
      </c>
      <c r="C7" s="93" t="s">
        <v>2314</v>
      </c>
      <c r="D7" s="91" t="s">
        <v>2321</v>
      </c>
      <c r="E7" s="91" t="s">
        <v>2322</v>
      </c>
      <c r="F7" s="92"/>
      <c r="G7" s="91" t="s">
        <v>2318</v>
      </c>
      <c r="H7" s="91"/>
      <c r="J7">
        <f t="shared" si="0"/>
        <v>16</v>
      </c>
      <c r="K7">
        <f t="shared" si="1"/>
        <v>14</v>
      </c>
      <c r="L7">
        <f t="shared" si="2"/>
        <v>35</v>
      </c>
      <c r="M7">
        <f t="shared" si="3"/>
        <v>45</v>
      </c>
    </row>
    <row r="8" spans="1:13">
      <c r="A8" s="107"/>
      <c r="B8" s="65" t="s">
        <v>3161</v>
      </c>
      <c r="C8" s="65" t="s">
        <v>2162</v>
      </c>
      <c r="D8" s="35" t="s">
        <v>3160</v>
      </c>
      <c r="E8" s="65" t="s">
        <v>2415</v>
      </c>
      <c r="F8" s="66"/>
      <c r="G8" s="65"/>
      <c r="H8" s="79"/>
      <c r="J8">
        <f t="shared" si="0"/>
        <v>15</v>
      </c>
      <c r="K8">
        <f t="shared" si="1"/>
        <v>16</v>
      </c>
      <c r="L8">
        <f t="shared" si="2"/>
        <v>60</v>
      </c>
      <c r="M8">
        <f t="shared" si="3"/>
        <v>54</v>
      </c>
    </row>
    <row r="9" spans="1:13">
      <c r="A9" s="107"/>
      <c r="B9" s="65" t="s">
        <v>2163</v>
      </c>
      <c r="C9" s="65" t="s">
        <v>2164</v>
      </c>
      <c r="D9" s="35" t="s">
        <v>2326</v>
      </c>
      <c r="E9" s="65" t="s">
        <v>2197</v>
      </c>
      <c r="F9" s="66"/>
      <c r="G9" s="65" t="s">
        <v>3159</v>
      </c>
      <c r="H9" s="65"/>
      <c r="J9">
        <f t="shared" si="0"/>
        <v>16</v>
      </c>
      <c r="K9">
        <f t="shared" si="1"/>
        <v>18</v>
      </c>
      <c r="L9">
        <f t="shared" si="2"/>
        <v>55</v>
      </c>
      <c r="M9">
        <f t="shared" si="3"/>
        <v>55</v>
      </c>
    </row>
    <row r="10" spans="1:13">
      <c r="A10" s="107"/>
      <c r="B10" s="65" t="s">
        <v>2167</v>
      </c>
      <c r="C10" s="65" t="s">
        <v>2167</v>
      </c>
      <c r="D10" s="35" t="s">
        <v>2323</v>
      </c>
      <c r="E10" s="65" t="s">
        <v>2168</v>
      </c>
      <c r="F10" s="66"/>
      <c r="G10" s="65"/>
      <c r="H10" s="65" t="s">
        <v>2414</v>
      </c>
      <c r="J10">
        <f t="shared" si="0"/>
        <v>19</v>
      </c>
      <c r="K10">
        <f t="shared" si="1"/>
        <v>19</v>
      </c>
      <c r="L10">
        <f t="shared" si="2"/>
        <v>51</v>
      </c>
      <c r="M10">
        <f t="shared" si="3"/>
        <v>53</v>
      </c>
    </row>
    <row r="11" spans="1:13" s="34" customFormat="1">
      <c r="A11" s="107"/>
      <c r="B11" s="91" t="s">
        <v>2169</v>
      </c>
      <c r="C11" s="91" t="s">
        <v>2169</v>
      </c>
      <c r="D11" s="35" t="s">
        <v>2170</v>
      </c>
      <c r="E11" s="65" t="s">
        <v>2171</v>
      </c>
      <c r="F11" s="66"/>
      <c r="G11" s="65" t="s">
        <v>2413</v>
      </c>
      <c r="H11" s="91"/>
      <c r="J11">
        <f t="shared" si="0"/>
        <v>19</v>
      </c>
      <c r="K11">
        <f t="shared" si="1"/>
        <v>19</v>
      </c>
      <c r="L11">
        <f t="shared" si="2"/>
        <v>44</v>
      </c>
      <c r="M11">
        <f t="shared" si="3"/>
        <v>51</v>
      </c>
    </row>
    <row r="12" spans="1:13" s="34" customFormat="1" ht="60">
      <c r="A12" s="107"/>
      <c r="B12" s="93" t="s">
        <v>2200</v>
      </c>
      <c r="C12" s="93" t="s">
        <v>2201</v>
      </c>
      <c r="D12" s="91" t="s">
        <v>3158</v>
      </c>
      <c r="E12" s="91" t="s">
        <v>3170</v>
      </c>
      <c r="F12" s="92"/>
      <c r="G12" s="91"/>
      <c r="H12" s="91" t="s">
        <v>3157</v>
      </c>
      <c r="J12">
        <f t="shared" si="0"/>
        <v>14</v>
      </c>
      <c r="K12">
        <f t="shared" si="1"/>
        <v>9</v>
      </c>
      <c r="L12">
        <f t="shared" si="2"/>
        <v>167</v>
      </c>
      <c r="M12">
        <f t="shared" si="3"/>
        <v>182</v>
      </c>
    </row>
    <row r="13" spans="1:13" s="34" customFormat="1" ht="30">
      <c r="A13" s="57"/>
      <c r="B13" s="65" t="s">
        <v>3156</v>
      </c>
      <c r="C13" s="65" t="s">
        <v>2820</v>
      </c>
      <c r="D13" s="91" t="s">
        <v>3155</v>
      </c>
      <c r="E13" s="91" t="s">
        <v>3154</v>
      </c>
      <c r="F13" s="92"/>
      <c r="G13" s="91"/>
      <c r="H13" s="91" t="s">
        <v>3153</v>
      </c>
      <c r="J13">
        <f t="shared" si="0"/>
        <v>27</v>
      </c>
      <c r="K13">
        <f t="shared" si="1"/>
        <v>11</v>
      </c>
      <c r="L13">
        <f t="shared" si="2"/>
        <v>38</v>
      </c>
      <c r="M13">
        <f t="shared" si="3"/>
        <v>69</v>
      </c>
    </row>
    <row r="15" spans="1:13">
      <c r="A15" s="108" t="s">
        <v>2158</v>
      </c>
      <c r="B15" s="47" t="s">
        <v>2141</v>
      </c>
      <c r="C15" s="84" t="s">
        <v>2150</v>
      </c>
      <c r="D15" s="65" t="s">
        <v>2142</v>
      </c>
      <c r="E15" s="65" t="s">
        <v>2225</v>
      </c>
      <c r="F15" s="66"/>
      <c r="G15" s="65"/>
      <c r="H15" s="65"/>
      <c r="J15">
        <f>IF(B16=0,"",LEN(B16))</f>
        <v>14</v>
      </c>
      <c r="K15">
        <f>IF(C16=0,"",LEN(C16))</f>
        <v>14</v>
      </c>
      <c r="L15">
        <f t="shared" ref="L15:M22" si="4">IF(D15=0,"",LEN(D15))</f>
        <v>35</v>
      </c>
      <c r="M15">
        <f t="shared" si="4"/>
        <v>43</v>
      </c>
    </row>
    <row r="16" spans="1:13" ht="15" customHeight="1">
      <c r="A16" s="109"/>
      <c r="B16" s="35" t="s">
        <v>2140</v>
      </c>
      <c r="C16" s="65" t="s">
        <v>2140</v>
      </c>
      <c r="D16" s="65" t="s">
        <v>2220</v>
      </c>
      <c r="E16" s="65" t="s">
        <v>2221</v>
      </c>
      <c r="F16" s="66"/>
      <c r="G16" s="65"/>
      <c r="H16" s="65"/>
      <c r="J16">
        <f>IF(B15=0,"",LEN(B15))</f>
        <v>8</v>
      </c>
      <c r="K16">
        <f>IF(C15=0,"",LEN(C15))</f>
        <v>9</v>
      </c>
      <c r="L16">
        <f t="shared" si="4"/>
        <v>51</v>
      </c>
      <c r="M16">
        <f t="shared" si="4"/>
        <v>50</v>
      </c>
    </row>
    <row r="17" spans="1:13">
      <c r="A17" s="109"/>
      <c r="B17" s="35" t="s">
        <v>2151</v>
      </c>
      <c r="C17" s="65" t="s">
        <v>2137</v>
      </c>
      <c r="D17" s="35" t="s">
        <v>2176</v>
      </c>
      <c r="E17" s="65" t="s">
        <v>2177</v>
      </c>
      <c r="F17" s="66"/>
      <c r="G17" s="65"/>
      <c r="H17" s="65"/>
      <c r="J17">
        <f t="shared" ref="J17:K22" si="5">IF(B17=0,"",LEN(B17))</f>
        <v>5</v>
      </c>
      <c r="K17">
        <f t="shared" si="5"/>
        <v>14</v>
      </c>
      <c r="L17">
        <f t="shared" si="4"/>
        <v>30</v>
      </c>
      <c r="M17">
        <f t="shared" si="4"/>
        <v>27</v>
      </c>
    </row>
    <row r="18" spans="1:13" ht="15" customHeight="1">
      <c r="A18" s="109"/>
      <c r="B18" s="35" t="s">
        <v>2153</v>
      </c>
      <c r="C18" s="65" t="s">
        <v>2153</v>
      </c>
      <c r="D18" s="35" t="s">
        <v>3152</v>
      </c>
      <c r="E18" s="65" t="s">
        <v>3151</v>
      </c>
      <c r="F18" s="66"/>
      <c r="G18" s="65"/>
      <c r="H18" s="65"/>
      <c r="J18">
        <f t="shared" si="5"/>
        <v>18</v>
      </c>
      <c r="K18">
        <f t="shared" si="5"/>
        <v>18</v>
      </c>
      <c r="L18">
        <f t="shared" si="4"/>
        <v>32</v>
      </c>
      <c r="M18">
        <f t="shared" si="4"/>
        <v>37</v>
      </c>
    </row>
    <row r="19" spans="1:13" ht="15" customHeight="1">
      <c r="A19" s="109"/>
      <c r="B19" s="35" t="s">
        <v>2157</v>
      </c>
      <c r="C19" s="65" t="s">
        <v>2135</v>
      </c>
      <c r="D19" s="35" t="s">
        <v>3150</v>
      </c>
      <c r="E19" s="87" t="s">
        <v>3149</v>
      </c>
      <c r="F19" s="89"/>
      <c r="G19" s="87"/>
      <c r="H19" s="65"/>
      <c r="J19">
        <f t="shared" si="5"/>
        <v>9</v>
      </c>
      <c r="K19">
        <f t="shared" si="5"/>
        <v>11</v>
      </c>
      <c r="L19">
        <f t="shared" si="4"/>
        <v>50</v>
      </c>
      <c r="M19">
        <f t="shared" si="4"/>
        <v>48</v>
      </c>
    </row>
    <row r="20" spans="1:13">
      <c r="A20" s="109"/>
      <c r="B20" s="35" t="s">
        <v>2136</v>
      </c>
      <c r="C20" s="65" t="s">
        <v>2136</v>
      </c>
      <c r="D20" s="35" t="s">
        <v>2226</v>
      </c>
      <c r="E20" s="65" t="s">
        <v>2172</v>
      </c>
      <c r="F20" s="66"/>
      <c r="G20" s="65"/>
      <c r="H20" s="65" t="s">
        <v>2231</v>
      </c>
      <c r="J20">
        <f t="shared" si="5"/>
        <v>10</v>
      </c>
      <c r="K20">
        <f t="shared" si="5"/>
        <v>10</v>
      </c>
      <c r="L20">
        <f t="shared" si="4"/>
        <v>45</v>
      </c>
      <c r="M20">
        <f t="shared" si="4"/>
        <v>52</v>
      </c>
    </row>
    <row r="21" spans="1:13" ht="15" customHeight="1">
      <c r="A21" s="109"/>
      <c r="B21" s="35" t="s">
        <v>2156</v>
      </c>
      <c r="C21" s="65" t="s">
        <v>2156</v>
      </c>
      <c r="D21" s="35" t="s">
        <v>2223</v>
      </c>
      <c r="E21" s="65" t="s">
        <v>2228</v>
      </c>
      <c r="F21" s="66"/>
      <c r="G21" s="65"/>
      <c r="H21" s="65"/>
      <c r="J21">
        <f t="shared" si="5"/>
        <v>19</v>
      </c>
      <c r="K21">
        <f t="shared" si="5"/>
        <v>19</v>
      </c>
      <c r="L21">
        <f t="shared" si="4"/>
        <v>32</v>
      </c>
      <c r="M21">
        <f t="shared" si="4"/>
        <v>42</v>
      </c>
    </row>
    <row r="22" spans="1:13">
      <c r="A22" s="109"/>
      <c r="B22" s="35" t="s">
        <v>2154</v>
      </c>
      <c r="C22" s="65" t="s">
        <v>2155</v>
      </c>
      <c r="D22" s="35" t="s">
        <v>2229</v>
      </c>
      <c r="E22" s="87" t="s">
        <v>2230</v>
      </c>
      <c r="F22" s="89"/>
      <c r="G22" s="87" t="s">
        <v>2140</v>
      </c>
      <c r="H22" s="87"/>
      <c r="J22">
        <f t="shared" si="5"/>
        <v>13</v>
      </c>
      <c r="K22">
        <f t="shared" si="5"/>
        <v>11</v>
      </c>
      <c r="L22">
        <f t="shared" si="4"/>
        <v>50</v>
      </c>
      <c r="M22">
        <f t="shared" si="4"/>
        <v>41</v>
      </c>
    </row>
    <row r="23" spans="1:13" ht="30">
      <c r="A23" s="109"/>
      <c r="B23" s="90" t="s">
        <v>3148</v>
      </c>
      <c r="C23" s="87" t="s">
        <v>3147</v>
      </c>
      <c r="D23" s="65" t="s">
        <v>3146</v>
      </c>
      <c r="E23" s="65" t="s">
        <v>3145</v>
      </c>
      <c r="F23" s="66" t="s">
        <v>2390</v>
      </c>
      <c r="G23" s="65"/>
      <c r="H23" s="65" t="s">
        <v>3144</v>
      </c>
    </row>
    <row r="24" spans="1:13">
      <c r="A24" s="109"/>
      <c r="B24" s="35" t="s">
        <v>2222</v>
      </c>
      <c r="C24" s="65" t="s">
        <v>2173</v>
      </c>
      <c r="D24" s="35" t="s">
        <v>2174</v>
      </c>
      <c r="E24" s="87" t="s">
        <v>2175</v>
      </c>
      <c r="F24" s="89" t="s">
        <v>2390</v>
      </c>
      <c r="G24" s="87"/>
      <c r="H24" s="65" t="s">
        <v>2412</v>
      </c>
      <c r="J24">
        <f t="shared" ref="J24:M30" si="6">IF(B24=0,"",LEN(B24))</f>
        <v>15</v>
      </c>
      <c r="K24">
        <f t="shared" si="6"/>
        <v>11</v>
      </c>
      <c r="L24">
        <f t="shared" si="6"/>
        <v>41</v>
      </c>
      <c r="M24">
        <f t="shared" si="6"/>
        <v>52</v>
      </c>
    </row>
    <row r="25" spans="1:13">
      <c r="A25" s="109"/>
      <c r="B25" s="47" t="s">
        <v>2152</v>
      </c>
      <c r="C25" s="84" t="s">
        <v>2138</v>
      </c>
      <c r="D25" s="35" t="s">
        <v>2411</v>
      </c>
      <c r="E25" s="65" t="s">
        <v>2410</v>
      </c>
      <c r="F25" s="66"/>
      <c r="G25" s="65" t="s">
        <v>2151</v>
      </c>
      <c r="H25" s="65"/>
      <c r="J25">
        <f t="shared" si="6"/>
        <v>16</v>
      </c>
      <c r="K25">
        <f t="shared" si="6"/>
        <v>15</v>
      </c>
      <c r="L25">
        <f t="shared" si="6"/>
        <v>52</v>
      </c>
      <c r="M25">
        <f t="shared" si="6"/>
        <v>53</v>
      </c>
    </row>
    <row r="26" spans="1:13">
      <c r="A26" s="109"/>
      <c r="B26" s="35" t="s">
        <v>2149</v>
      </c>
      <c r="C26" s="65" t="s">
        <v>2149</v>
      </c>
      <c r="D26" s="35" t="s">
        <v>3143</v>
      </c>
      <c r="E26" s="65" t="s">
        <v>3142</v>
      </c>
      <c r="F26" s="66"/>
      <c r="G26" s="65"/>
      <c r="H26" s="65"/>
      <c r="J26">
        <f t="shared" si="6"/>
        <v>8</v>
      </c>
      <c r="K26">
        <f t="shared" si="6"/>
        <v>8</v>
      </c>
      <c r="L26">
        <f t="shared" si="6"/>
        <v>42</v>
      </c>
      <c r="M26">
        <f t="shared" si="6"/>
        <v>53</v>
      </c>
    </row>
    <row r="27" spans="1:13">
      <c r="A27" s="110"/>
      <c r="B27" s="47" t="s">
        <v>3141</v>
      </c>
      <c r="C27" s="84" t="s">
        <v>2202</v>
      </c>
      <c r="D27" s="35" t="s">
        <v>2227</v>
      </c>
      <c r="E27" s="65" t="s">
        <v>2224</v>
      </c>
      <c r="F27" s="66"/>
      <c r="G27" s="65"/>
      <c r="H27" s="65"/>
      <c r="J27">
        <f t="shared" si="6"/>
        <v>19</v>
      </c>
      <c r="K27">
        <f t="shared" si="6"/>
        <v>20</v>
      </c>
      <c r="L27">
        <f t="shared" si="6"/>
        <v>42</v>
      </c>
      <c r="M27">
        <f t="shared" si="6"/>
        <v>43</v>
      </c>
    </row>
    <row r="28" spans="1:13">
      <c r="A28" s="88"/>
      <c r="B28" s="87" t="s">
        <v>3140</v>
      </c>
      <c r="C28" s="87" t="s">
        <v>3139</v>
      </c>
      <c r="D28" s="65" t="s">
        <v>3138</v>
      </c>
      <c r="E28" s="65" t="s">
        <v>3137</v>
      </c>
      <c r="F28" s="66"/>
      <c r="G28" s="65"/>
      <c r="H28" s="65"/>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06" t="s">
        <v>657</v>
      </c>
      <c r="B30" s="65" t="s">
        <v>3136</v>
      </c>
      <c r="C30" s="65" t="s">
        <v>3171</v>
      </c>
      <c r="D30" s="65" t="s">
        <v>3135</v>
      </c>
      <c r="E30" s="65" t="s">
        <v>3134</v>
      </c>
      <c r="F30" s="66"/>
      <c r="G30" s="65"/>
      <c r="H30" s="65" t="s">
        <v>3133</v>
      </c>
      <c r="J30">
        <f t="shared" si="6"/>
        <v>9</v>
      </c>
      <c r="K30">
        <f t="shared" si="6"/>
        <v>26</v>
      </c>
      <c r="L30">
        <f t="shared" si="6"/>
        <v>135</v>
      </c>
      <c r="M30">
        <f t="shared" si="6"/>
        <v>130</v>
      </c>
    </row>
    <row r="31" spans="1:13" ht="30">
      <c r="A31" s="106"/>
      <c r="B31" s="75" t="s">
        <v>3132</v>
      </c>
      <c r="C31" s="60" t="s">
        <v>3131</v>
      </c>
      <c r="D31" s="65" t="s">
        <v>3130</v>
      </c>
      <c r="E31" s="65" t="s">
        <v>3129</v>
      </c>
      <c r="F31" s="66"/>
      <c r="G31" s="65"/>
      <c r="H31" s="65" t="s">
        <v>2409</v>
      </c>
      <c r="J31">
        <f>IF(B32=0,"",LEN(B32))</f>
        <v>16</v>
      </c>
      <c r="K31">
        <f>IF(C32=0,"",LEN(C32))</f>
        <v>16</v>
      </c>
      <c r="L31">
        <f>IF(D31=0,"",LEN(D31))</f>
        <v>75</v>
      </c>
      <c r="M31">
        <f>IF(E31=0,"",LEN(E31))</f>
        <v>79</v>
      </c>
    </row>
    <row r="32" spans="1:13" ht="30">
      <c r="A32" s="106"/>
      <c r="B32" s="65" t="s">
        <v>3128</v>
      </c>
      <c r="C32" s="65" t="s">
        <v>3127</v>
      </c>
      <c r="D32" s="65"/>
      <c r="E32" s="65" t="s">
        <v>3126</v>
      </c>
      <c r="F32" s="66"/>
      <c r="G32" s="65"/>
      <c r="H32" s="65" t="s">
        <v>2408</v>
      </c>
      <c r="J32" t="e">
        <f>IF(#REF!=0,"",LEN(#REF!))</f>
        <v>#REF!</v>
      </c>
      <c r="K32" t="e">
        <f>IF(#REF!=0,"",LEN(#REF!))</f>
        <v>#REF!</v>
      </c>
      <c r="L32" t="str">
        <f>IF(D32=0,"",LEN(D32))</f>
        <v/>
      </c>
      <c r="M32">
        <f>IF(E32=0,"",LEN(E32))</f>
        <v>62</v>
      </c>
    </row>
    <row r="33" spans="1:13" ht="30">
      <c r="A33" s="106"/>
      <c r="B33" s="65" t="s">
        <v>3125</v>
      </c>
      <c r="C33" s="65" t="s">
        <v>3124</v>
      </c>
      <c r="D33" s="85"/>
      <c r="E33" s="85" t="s">
        <v>3123</v>
      </c>
      <c r="F33" s="86"/>
      <c r="G33" s="85"/>
      <c r="H33" s="65" t="s">
        <v>3122</v>
      </c>
      <c r="M33">
        <f>IF(E34=0,"",LEN(E34))</f>
        <v>123</v>
      </c>
    </row>
    <row r="34" spans="1:13" ht="45">
      <c r="A34" s="106"/>
      <c r="B34" s="84" t="s">
        <v>2203</v>
      </c>
      <c r="C34" s="83" t="s">
        <v>2204</v>
      </c>
      <c r="D34" s="82"/>
      <c r="E34" s="65" t="s">
        <v>3121</v>
      </c>
      <c r="F34" s="66"/>
      <c r="G34" s="81"/>
      <c r="H34" s="35" t="s">
        <v>2205</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70" t="s">
        <v>2439</v>
      </c>
      <c r="C36" s="70" t="s">
        <v>3172</v>
      </c>
      <c r="D36" s="60" t="s">
        <v>2336</v>
      </c>
      <c r="E36" s="70" t="s">
        <v>2335</v>
      </c>
      <c r="F36" s="80"/>
      <c r="G36" s="70"/>
      <c r="H36" s="70"/>
    </row>
    <row r="37" spans="1:13">
      <c r="A37" s="44"/>
      <c r="B37" s="65" t="s">
        <v>2182</v>
      </c>
      <c r="C37" s="65" t="s">
        <v>2183</v>
      </c>
      <c r="D37" s="65" t="s">
        <v>3120</v>
      </c>
      <c r="E37" s="65" t="s">
        <v>3119</v>
      </c>
      <c r="F37" s="66"/>
      <c r="G37" s="65" t="s">
        <v>2459</v>
      </c>
      <c r="H37" s="65"/>
      <c r="J37">
        <f t="shared" ref="J37:J54" si="7">IF(B37=0,"",LEN(B37))</f>
        <v>16</v>
      </c>
      <c r="K37">
        <f t="shared" ref="K37:K54" si="8">IF(C37=0,"",LEN(C37))</f>
        <v>14</v>
      </c>
      <c r="L37">
        <f t="shared" ref="L37:L54" si="9">IF(D37=0,"",LEN(D37))</f>
        <v>59</v>
      </c>
      <c r="M37">
        <f t="shared" ref="M37:M54" si="10">IF(E37=0,"",LEN(E37))</f>
        <v>57</v>
      </c>
    </row>
    <row r="38" spans="1:13" ht="45">
      <c r="A38" s="43"/>
      <c r="B38" s="70" t="s">
        <v>2209</v>
      </c>
      <c r="C38" s="70" t="s">
        <v>3173</v>
      </c>
      <c r="D38" s="60" t="s">
        <v>2385</v>
      </c>
      <c r="E38" s="70" t="s">
        <v>2384</v>
      </c>
      <c r="F38" s="80"/>
      <c r="G38" s="65"/>
      <c r="H38" s="49"/>
      <c r="J38">
        <f t="shared" si="7"/>
        <v>18</v>
      </c>
      <c r="K38">
        <f t="shared" si="8"/>
        <v>27</v>
      </c>
      <c r="L38">
        <f t="shared" si="9"/>
        <v>145</v>
      </c>
      <c r="M38">
        <f t="shared" si="10"/>
        <v>169</v>
      </c>
    </row>
    <row r="39" spans="1:13" ht="15" customHeight="1">
      <c r="A39" s="111" t="s">
        <v>2343</v>
      </c>
      <c r="B39" s="65" t="s">
        <v>2184</v>
      </c>
      <c r="C39" s="65" t="s">
        <v>2185</v>
      </c>
      <c r="D39" s="65" t="s">
        <v>3118</v>
      </c>
      <c r="E39" s="65" t="s">
        <v>2342</v>
      </c>
      <c r="F39" s="65"/>
      <c r="G39" s="65" t="s">
        <v>2459</v>
      </c>
      <c r="H39" s="79"/>
      <c r="J39">
        <f t="shared" si="7"/>
        <v>15</v>
      </c>
      <c r="K39">
        <f t="shared" si="8"/>
        <v>19</v>
      </c>
      <c r="L39">
        <f t="shared" si="9"/>
        <v>37</v>
      </c>
      <c r="M39">
        <f t="shared" si="10"/>
        <v>39</v>
      </c>
    </row>
    <row r="40" spans="1:13">
      <c r="A40" s="111"/>
      <c r="B40" s="38" t="s">
        <v>2332</v>
      </c>
      <c r="C40" s="38" t="s">
        <v>2331</v>
      </c>
      <c r="D40" s="38" t="s">
        <v>2333</v>
      </c>
      <c r="E40" s="38" t="s">
        <v>2334</v>
      </c>
      <c r="F40" s="42"/>
      <c r="G40" s="65" t="s">
        <v>2459</v>
      </c>
      <c r="H40" s="38" t="s">
        <v>2178</v>
      </c>
      <c r="J40">
        <f t="shared" si="7"/>
        <v>17</v>
      </c>
      <c r="K40">
        <f t="shared" si="8"/>
        <v>18</v>
      </c>
      <c r="L40">
        <f t="shared" si="9"/>
        <v>51</v>
      </c>
      <c r="M40">
        <f t="shared" si="10"/>
        <v>54</v>
      </c>
    </row>
    <row r="41" spans="1:13">
      <c r="A41" s="111"/>
      <c r="B41" s="65" t="s">
        <v>2440</v>
      </c>
      <c r="C41" s="65" t="s">
        <v>2440</v>
      </c>
      <c r="D41" s="65" t="s">
        <v>3117</v>
      </c>
      <c r="E41" s="65" t="s">
        <v>3116</v>
      </c>
      <c r="F41" s="66"/>
      <c r="G41" s="65" t="s">
        <v>2459</v>
      </c>
      <c r="H41" s="79"/>
      <c r="J41">
        <f t="shared" si="7"/>
        <v>11</v>
      </c>
      <c r="K41">
        <f t="shared" si="8"/>
        <v>11</v>
      </c>
      <c r="L41">
        <f t="shared" si="9"/>
        <v>52</v>
      </c>
      <c r="M41">
        <f t="shared" si="10"/>
        <v>46</v>
      </c>
    </row>
    <row r="42" spans="1:13" ht="30">
      <c r="A42" s="111"/>
      <c r="B42" s="71" t="s">
        <v>2206</v>
      </c>
      <c r="C42" s="71" t="s">
        <v>2207</v>
      </c>
      <c r="D42" s="65" t="s">
        <v>2338</v>
      </c>
      <c r="E42" s="65" t="s">
        <v>2337</v>
      </c>
      <c r="F42" s="66"/>
      <c r="G42" s="65" t="s">
        <v>2459</v>
      </c>
      <c r="H42" s="65"/>
      <c r="J42">
        <f t="shared" si="7"/>
        <v>4</v>
      </c>
      <c r="K42">
        <f t="shared" si="8"/>
        <v>23</v>
      </c>
      <c r="L42">
        <f t="shared" si="9"/>
        <v>84</v>
      </c>
      <c r="M42">
        <f t="shared" si="10"/>
        <v>84</v>
      </c>
    </row>
    <row r="43" spans="1:13">
      <c r="A43" s="111"/>
      <c r="B43" s="65" t="s">
        <v>2441</v>
      </c>
      <c r="C43" s="65" t="s">
        <v>2442</v>
      </c>
      <c r="D43" s="65" t="s">
        <v>2464</v>
      </c>
      <c r="E43" s="65" t="s">
        <v>3174</v>
      </c>
      <c r="F43" s="66"/>
      <c r="G43" s="65" t="s">
        <v>2459</v>
      </c>
      <c r="H43" s="79"/>
      <c r="J43">
        <f t="shared" si="7"/>
        <v>16</v>
      </c>
      <c r="K43">
        <f t="shared" si="8"/>
        <v>13</v>
      </c>
      <c r="L43">
        <f t="shared" si="9"/>
        <v>40</v>
      </c>
      <c r="M43">
        <f t="shared" si="10"/>
        <v>52</v>
      </c>
    </row>
    <row r="44" spans="1:13">
      <c r="A44" s="111"/>
      <c r="B44" s="65" t="s">
        <v>2179</v>
      </c>
      <c r="C44" s="65" t="s">
        <v>2180</v>
      </c>
      <c r="D44" s="65" t="s">
        <v>2516</v>
      </c>
      <c r="E44" s="65" t="s">
        <v>2407</v>
      </c>
      <c r="F44" s="66"/>
      <c r="G44" s="65" t="s">
        <v>2459</v>
      </c>
      <c r="H44" s="79"/>
      <c r="J44">
        <f t="shared" si="7"/>
        <v>15</v>
      </c>
      <c r="K44">
        <f t="shared" si="8"/>
        <v>16</v>
      </c>
      <c r="L44">
        <f t="shared" si="9"/>
        <v>58</v>
      </c>
      <c r="M44">
        <f t="shared" si="10"/>
        <v>53</v>
      </c>
    </row>
    <row r="45" spans="1:13">
      <c r="A45" s="111"/>
      <c r="B45" s="65" t="s">
        <v>2181</v>
      </c>
      <c r="C45" s="65" t="s">
        <v>2139</v>
      </c>
      <c r="D45" s="65" t="s">
        <v>2340</v>
      </c>
      <c r="E45" s="65" t="s">
        <v>2341</v>
      </c>
      <c r="F45" s="66"/>
      <c r="G45" s="65" t="s">
        <v>2459</v>
      </c>
      <c r="H45" s="79" t="s">
        <v>3115</v>
      </c>
      <c r="J45">
        <f t="shared" si="7"/>
        <v>12</v>
      </c>
      <c r="K45">
        <f t="shared" si="8"/>
        <v>12</v>
      </c>
      <c r="L45">
        <f t="shared" si="9"/>
        <v>49</v>
      </c>
      <c r="M45">
        <f t="shared" si="10"/>
        <v>38</v>
      </c>
    </row>
    <row r="46" spans="1:13">
      <c r="A46" s="111"/>
      <c r="B46" s="70" t="s">
        <v>2186</v>
      </c>
      <c r="C46" s="70" t="s">
        <v>2187</v>
      </c>
      <c r="D46" s="60" t="s">
        <v>2406</v>
      </c>
      <c r="E46" s="49" t="s">
        <v>2405</v>
      </c>
      <c r="F46" s="64"/>
      <c r="G46" s="65" t="s">
        <v>2459</v>
      </c>
      <c r="H46" s="49" t="s">
        <v>2188</v>
      </c>
      <c r="J46">
        <f t="shared" si="7"/>
        <v>16</v>
      </c>
      <c r="K46">
        <f t="shared" si="8"/>
        <v>11</v>
      </c>
      <c r="L46">
        <f t="shared" si="9"/>
        <v>41</v>
      </c>
      <c r="M46">
        <f t="shared" si="10"/>
        <v>49</v>
      </c>
    </row>
    <row r="47" spans="1:13">
      <c r="A47" s="111"/>
      <c r="B47" s="71" t="s">
        <v>2210</v>
      </c>
      <c r="C47" s="71" t="s">
        <v>3114</v>
      </c>
      <c r="D47" s="60" t="s">
        <v>2404</v>
      </c>
      <c r="E47" s="60" t="s">
        <v>2403</v>
      </c>
      <c r="F47" s="61"/>
      <c r="G47" s="65" t="s">
        <v>2459</v>
      </c>
      <c r="H47" s="70" t="s">
        <v>2402</v>
      </c>
      <c r="J47">
        <f t="shared" si="7"/>
        <v>5</v>
      </c>
      <c r="K47">
        <f t="shared" si="8"/>
        <v>5</v>
      </c>
      <c r="L47">
        <f t="shared" si="9"/>
        <v>20</v>
      </c>
      <c r="M47">
        <f t="shared" si="10"/>
        <v>24</v>
      </c>
    </row>
    <row r="48" spans="1:13" ht="30">
      <c r="A48" s="111"/>
      <c r="B48" s="71" t="s">
        <v>2211</v>
      </c>
      <c r="C48" s="71" t="s">
        <v>3113</v>
      </c>
      <c r="D48" s="60" t="s">
        <v>2401</v>
      </c>
      <c r="E48" s="60" t="s">
        <v>2400</v>
      </c>
      <c r="F48" s="61"/>
      <c r="G48" s="65" t="s">
        <v>2460</v>
      </c>
      <c r="H48" s="49"/>
      <c r="J48">
        <f t="shared" si="7"/>
        <v>4</v>
      </c>
      <c r="K48">
        <f t="shared" si="8"/>
        <v>5</v>
      </c>
      <c r="L48">
        <f t="shared" si="9"/>
        <v>23</v>
      </c>
      <c r="M48">
        <f t="shared" si="10"/>
        <v>25</v>
      </c>
    </row>
    <row r="49" spans="1:13" ht="30">
      <c r="A49" s="111"/>
      <c r="B49" s="71" t="s">
        <v>2212</v>
      </c>
      <c r="C49" s="71" t="s">
        <v>2212</v>
      </c>
      <c r="D49" s="60" t="s">
        <v>2399</v>
      </c>
      <c r="E49" s="60" t="s">
        <v>2339</v>
      </c>
      <c r="F49" s="61"/>
      <c r="G49" s="65" t="s">
        <v>2461</v>
      </c>
      <c r="H49" s="49"/>
      <c r="J49">
        <f t="shared" si="7"/>
        <v>8</v>
      </c>
      <c r="K49">
        <f t="shared" si="8"/>
        <v>8</v>
      </c>
      <c r="L49">
        <f t="shared" si="9"/>
        <v>26</v>
      </c>
      <c r="M49">
        <f t="shared" si="10"/>
        <v>23</v>
      </c>
    </row>
    <row r="50" spans="1:13" ht="30" customHeight="1">
      <c r="A50" s="111"/>
      <c r="B50" s="71" t="s">
        <v>2232</v>
      </c>
      <c r="C50" s="71" t="s">
        <v>2233</v>
      </c>
      <c r="D50" s="60" t="s">
        <v>2398</v>
      </c>
      <c r="E50" s="60" t="s">
        <v>2345</v>
      </c>
      <c r="F50" s="61"/>
      <c r="G50" s="65" t="s">
        <v>2462</v>
      </c>
      <c r="H50" s="49" t="s">
        <v>2344</v>
      </c>
      <c r="J50">
        <f t="shared" si="7"/>
        <v>19</v>
      </c>
      <c r="K50">
        <f t="shared" si="8"/>
        <v>21</v>
      </c>
      <c r="L50">
        <f t="shared" si="9"/>
        <v>68</v>
      </c>
      <c r="M50">
        <f t="shared" si="10"/>
        <v>77</v>
      </c>
    </row>
    <row r="51" spans="1:13">
      <c r="A51" s="111"/>
      <c r="B51" s="65" t="s">
        <v>2443</v>
      </c>
      <c r="C51" s="65" t="s">
        <v>2446</v>
      </c>
      <c r="D51" s="60" t="s">
        <v>2444</v>
      </c>
      <c r="E51" s="77" t="s">
        <v>2445</v>
      </c>
      <c r="F51" s="64"/>
      <c r="G51" s="65" t="s">
        <v>2459</v>
      </c>
      <c r="H51" s="49"/>
      <c r="J51">
        <f t="shared" si="7"/>
        <v>9</v>
      </c>
      <c r="K51">
        <f t="shared" si="8"/>
        <v>12</v>
      </c>
      <c r="L51">
        <f t="shared" si="9"/>
        <v>23</v>
      </c>
      <c r="M51">
        <f t="shared" si="10"/>
        <v>47</v>
      </c>
    </row>
    <row r="52" spans="1:13">
      <c r="A52" s="111"/>
      <c r="B52" s="65" t="s">
        <v>2447</v>
      </c>
      <c r="C52" s="65" t="s">
        <v>2447</v>
      </c>
      <c r="D52" s="60" t="s">
        <v>2448</v>
      </c>
      <c r="E52" s="77" t="s">
        <v>2449</v>
      </c>
      <c r="F52" s="64"/>
      <c r="G52" s="65" t="s">
        <v>2459</v>
      </c>
      <c r="H52" s="49"/>
      <c r="J52">
        <f t="shared" si="7"/>
        <v>8</v>
      </c>
      <c r="K52">
        <f t="shared" si="8"/>
        <v>8</v>
      </c>
      <c r="L52">
        <f t="shared" si="9"/>
        <v>33</v>
      </c>
      <c r="M52">
        <f t="shared" si="10"/>
        <v>38</v>
      </c>
    </row>
    <row r="53" spans="1:13" ht="30">
      <c r="A53" s="111"/>
      <c r="B53" s="65" t="s">
        <v>2450</v>
      </c>
      <c r="C53" s="65" t="s">
        <v>2450</v>
      </c>
      <c r="D53" s="60" t="s">
        <v>2451</v>
      </c>
      <c r="E53" s="77" t="s">
        <v>3175</v>
      </c>
      <c r="F53" s="64"/>
      <c r="G53" s="65" t="s">
        <v>2459</v>
      </c>
      <c r="H53" s="49"/>
      <c r="J53">
        <f t="shared" si="7"/>
        <v>9</v>
      </c>
      <c r="K53">
        <f t="shared" si="8"/>
        <v>9</v>
      </c>
      <c r="L53">
        <f t="shared" si="9"/>
        <v>58</v>
      </c>
      <c r="M53">
        <f t="shared" si="10"/>
        <v>80</v>
      </c>
    </row>
    <row r="54" spans="1:13" ht="30">
      <c r="A54" s="111"/>
      <c r="B54" s="65" t="s">
        <v>2457</v>
      </c>
      <c r="C54" s="65" t="s">
        <v>2452</v>
      </c>
      <c r="D54" s="60" t="s">
        <v>2453</v>
      </c>
      <c r="E54" s="77" t="s">
        <v>3176</v>
      </c>
      <c r="F54" s="64"/>
      <c r="G54" s="65" t="s">
        <v>2459</v>
      </c>
      <c r="H54" s="49"/>
      <c r="J54">
        <f t="shared" si="7"/>
        <v>13</v>
      </c>
      <c r="K54">
        <f t="shared" si="8"/>
        <v>13</v>
      </c>
      <c r="L54">
        <f t="shared" si="9"/>
        <v>52</v>
      </c>
      <c r="M54">
        <f t="shared" si="10"/>
        <v>70</v>
      </c>
    </row>
    <row r="55" spans="1:13" ht="45">
      <c r="A55" s="111"/>
      <c r="B55" s="65" t="s">
        <v>2454</v>
      </c>
      <c r="C55" s="65" t="s">
        <v>3112</v>
      </c>
      <c r="D55" s="60" t="s">
        <v>3111</v>
      </c>
      <c r="E55" s="77" t="s">
        <v>3110</v>
      </c>
      <c r="F55" s="64"/>
      <c r="G55" s="65" t="s">
        <v>2463</v>
      </c>
      <c r="H55" s="78" t="s">
        <v>3109</v>
      </c>
      <c r="J55">
        <f>IF(B55=0,"",LEN(B55))</f>
        <v>5</v>
      </c>
      <c r="K55">
        <f>IF(C55=0,"",LEN(C55))</f>
        <v>5</v>
      </c>
      <c r="L55">
        <f>IF(D55=0,"",LEN(D55))</f>
        <v>138</v>
      </c>
    </row>
    <row r="56" spans="1:13" ht="45">
      <c r="A56" s="111"/>
      <c r="B56" s="65" t="s">
        <v>2455</v>
      </c>
      <c r="C56" s="65" t="s">
        <v>2455</v>
      </c>
      <c r="D56" s="60" t="s">
        <v>2456</v>
      </c>
      <c r="E56" s="77" t="s">
        <v>3177</v>
      </c>
      <c r="F56" s="64"/>
      <c r="G56" s="60" t="s">
        <v>2458</v>
      </c>
      <c r="H56" s="49"/>
      <c r="J56">
        <f t="shared" ref="J56:J68" si="11">IF(B56=0,"",LEN(B56))</f>
        <v>10</v>
      </c>
      <c r="L56">
        <f t="shared" ref="L56:L68" si="12">IF(D56=0,"",LEN(D56))</f>
        <v>135</v>
      </c>
    </row>
    <row r="57" spans="1:13">
      <c r="B57" s="39"/>
      <c r="C57" s="39"/>
      <c r="J57" t="str">
        <f t="shared" si="11"/>
        <v/>
      </c>
      <c r="K57" t="str">
        <f t="shared" ref="K57:K68" si="13">IF(C57=0,"",LEN(C57))</f>
        <v/>
      </c>
      <c r="L57" t="str">
        <f t="shared" si="12"/>
        <v/>
      </c>
      <c r="M57" t="str">
        <f t="shared" ref="M57:M68" si="14">IF(E57=0,"",LEN(E57))</f>
        <v/>
      </c>
    </row>
    <row r="58" spans="1:13" ht="30" customHeight="1">
      <c r="A58" s="106" t="s">
        <v>2383</v>
      </c>
      <c r="B58" s="70" t="s">
        <v>3108</v>
      </c>
      <c r="C58" s="70" t="s">
        <v>3107</v>
      </c>
      <c r="D58" s="75" t="s">
        <v>3106</v>
      </c>
      <c r="E58" s="60" t="s">
        <v>3105</v>
      </c>
      <c r="F58" s="68" t="s">
        <v>2390</v>
      </c>
      <c r="G58" s="60"/>
      <c r="H58" s="76" t="s">
        <v>3104</v>
      </c>
      <c r="J58">
        <f t="shared" si="11"/>
        <v>19</v>
      </c>
      <c r="K58">
        <f t="shared" si="13"/>
        <v>26</v>
      </c>
      <c r="L58">
        <f t="shared" si="12"/>
        <v>64</v>
      </c>
      <c r="M58">
        <f t="shared" si="14"/>
        <v>71</v>
      </c>
    </row>
    <row r="59" spans="1:13" ht="30">
      <c r="A59" s="106"/>
      <c r="B59" s="71" t="s">
        <v>2379</v>
      </c>
      <c r="C59" s="71" t="s">
        <v>2378</v>
      </c>
      <c r="D59" s="75" t="s">
        <v>2377</v>
      </c>
      <c r="E59" s="60" t="s">
        <v>2376</v>
      </c>
      <c r="F59" s="68" t="s">
        <v>2390</v>
      </c>
      <c r="G59" s="60"/>
      <c r="H59" s="59"/>
      <c r="J59">
        <f t="shared" si="11"/>
        <v>15</v>
      </c>
      <c r="K59">
        <f t="shared" si="13"/>
        <v>13</v>
      </c>
      <c r="L59">
        <f t="shared" si="12"/>
        <v>79</v>
      </c>
      <c r="M59">
        <f t="shared" si="14"/>
        <v>98</v>
      </c>
    </row>
    <row r="60" spans="1:13" ht="30">
      <c r="A60" s="106"/>
      <c r="B60" s="70" t="s">
        <v>2374</v>
      </c>
      <c r="C60" s="70" t="s">
        <v>2374</v>
      </c>
      <c r="D60" s="75" t="s">
        <v>2373</v>
      </c>
      <c r="E60" s="60" t="s">
        <v>2372</v>
      </c>
      <c r="F60" s="61"/>
      <c r="G60" s="60"/>
      <c r="H60" s="49"/>
      <c r="J60">
        <f t="shared" si="11"/>
        <v>11</v>
      </c>
      <c r="K60">
        <f t="shared" si="13"/>
        <v>11</v>
      </c>
      <c r="L60">
        <f t="shared" si="12"/>
        <v>57</v>
      </c>
      <c r="M60">
        <f t="shared" si="14"/>
        <v>72</v>
      </c>
    </row>
    <row r="61" spans="1:13">
      <c r="A61" s="106"/>
      <c r="B61" s="70" t="s">
        <v>2371</v>
      </c>
      <c r="C61" s="70" t="s">
        <v>2370</v>
      </c>
      <c r="D61" s="60" t="s">
        <v>2387</v>
      </c>
      <c r="E61" s="49" t="s">
        <v>2369</v>
      </c>
      <c r="F61" s="64"/>
      <c r="G61" s="49"/>
      <c r="H61" s="49" t="s">
        <v>2368</v>
      </c>
      <c r="J61">
        <f t="shared" si="11"/>
        <v>12</v>
      </c>
      <c r="K61">
        <f t="shared" si="13"/>
        <v>11</v>
      </c>
      <c r="L61">
        <f t="shared" si="12"/>
        <v>53</v>
      </c>
      <c r="M61">
        <f t="shared" si="14"/>
        <v>62</v>
      </c>
    </row>
    <row r="62" spans="1:13" ht="15" customHeight="1">
      <c r="A62" s="106"/>
      <c r="B62" s="70" t="s">
        <v>2367</v>
      </c>
      <c r="C62" s="70" t="s">
        <v>2366</v>
      </c>
      <c r="D62" s="60" t="s">
        <v>2365</v>
      </c>
      <c r="E62" s="49" t="s">
        <v>2364</v>
      </c>
      <c r="F62" s="73" t="s">
        <v>2390</v>
      </c>
      <c r="G62" s="49"/>
      <c r="H62" s="74" t="s">
        <v>2397</v>
      </c>
      <c r="J62">
        <f t="shared" si="11"/>
        <v>19</v>
      </c>
      <c r="K62">
        <f t="shared" si="13"/>
        <v>15</v>
      </c>
      <c r="L62">
        <f t="shared" si="12"/>
        <v>51</v>
      </c>
      <c r="M62">
        <f t="shared" si="14"/>
        <v>52</v>
      </c>
    </row>
    <row r="63" spans="1:13" ht="28.5" customHeight="1">
      <c r="A63" s="106"/>
      <c r="B63" s="70" t="s">
        <v>2363</v>
      </c>
      <c r="C63" s="70" t="s">
        <v>2362</v>
      </c>
      <c r="D63" s="60" t="s">
        <v>2361</v>
      </c>
      <c r="E63" s="60" t="s">
        <v>2360</v>
      </c>
      <c r="F63" s="73" t="s">
        <v>2390</v>
      </c>
      <c r="G63" s="49" t="s">
        <v>2366</v>
      </c>
      <c r="H63" s="72" t="s">
        <v>2396</v>
      </c>
      <c r="J63">
        <f t="shared" si="11"/>
        <v>20</v>
      </c>
      <c r="K63">
        <f t="shared" si="13"/>
        <v>17</v>
      </c>
      <c r="L63">
        <f t="shared" si="12"/>
        <v>118</v>
      </c>
      <c r="M63">
        <f t="shared" si="14"/>
        <v>113</v>
      </c>
    </row>
    <row r="64" spans="1:13" ht="15" customHeight="1">
      <c r="A64" s="106"/>
      <c r="B64" s="70" t="s">
        <v>2359</v>
      </c>
      <c r="C64" s="70" t="s">
        <v>2213</v>
      </c>
      <c r="D64" s="60" t="s">
        <v>2358</v>
      </c>
      <c r="E64" s="49" t="s">
        <v>2214</v>
      </c>
      <c r="F64" s="73"/>
      <c r="G64" s="49"/>
      <c r="H64" s="49" t="s">
        <v>2357</v>
      </c>
      <c r="J64">
        <f t="shared" si="11"/>
        <v>15</v>
      </c>
      <c r="K64">
        <f t="shared" si="13"/>
        <v>20</v>
      </c>
      <c r="L64">
        <f t="shared" si="12"/>
        <v>29</v>
      </c>
      <c r="M64">
        <f t="shared" si="14"/>
        <v>39</v>
      </c>
    </row>
    <row r="65" spans="1:13" ht="30">
      <c r="A65" s="106"/>
      <c r="B65" s="71" t="s">
        <v>2219</v>
      </c>
      <c r="C65" s="71" t="s">
        <v>2219</v>
      </c>
      <c r="D65" s="60"/>
      <c r="E65" s="49"/>
      <c r="F65" s="73" t="s">
        <v>2390</v>
      </c>
      <c r="G65" s="60" t="s">
        <v>2213</v>
      </c>
      <c r="H65" s="72" t="s">
        <v>3103</v>
      </c>
      <c r="J65">
        <f t="shared" si="11"/>
        <v>40</v>
      </c>
      <c r="K65">
        <f t="shared" si="13"/>
        <v>40</v>
      </c>
      <c r="L65" t="str">
        <f t="shared" si="12"/>
        <v/>
      </c>
      <c r="M65" t="str">
        <f t="shared" si="14"/>
        <v/>
      </c>
    </row>
    <row r="66" spans="1:13">
      <c r="A66" s="106"/>
      <c r="B66" s="71" t="s">
        <v>2356</v>
      </c>
      <c r="C66" s="71" t="s">
        <v>2356</v>
      </c>
      <c r="D66" s="67" t="s">
        <v>2355</v>
      </c>
      <c r="E66" s="49" t="s">
        <v>3102</v>
      </c>
      <c r="F66" s="64"/>
      <c r="G66" s="49"/>
      <c r="H66" s="60"/>
      <c r="J66">
        <f t="shared" si="11"/>
        <v>8</v>
      </c>
      <c r="K66">
        <f t="shared" si="13"/>
        <v>8</v>
      </c>
      <c r="L66">
        <f t="shared" si="12"/>
        <v>38</v>
      </c>
      <c r="M66">
        <f t="shared" si="14"/>
        <v>45</v>
      </c>
    </row>
    <row r="67" spans="1:13" ht="45">
      <c r="A67" s="106"/>
      <c r="B67" s="70" t="s">
        <v>2382</v>
      </c>
      <c r="C67" s="70" t="s">
        <v>2381</v>
      </c>
      <c r="D67" s="60" t="s">
        <v>3101</v>
      </c>
      <c r="E67" s="60" t="s">
        <v>2380</v>
      </c>
      <c r="F67" s="61"/>
      <c r="G67" s="60"/>
      <c r="H67" s="60" t="s">
        <v>2395</v>
      </c>
      <c r="J67">
        <f t="shared" si="11"/>
        <v>16</v>
      </c>
      <c r="K67">
        <f t="shared" si="13"/>
        <v>11</v>
      </c>
      <c r="L67">
        <f t="shared" si="12"/>
        <v>69</v>
      </c>
      <c r="M67">
        <f t="shared" si="14"/>
        <v>60</v>
      </c>
    </row>
    <row r="68" spans="1:13" ht="30">
      <c r="A68" s="58"/>
      <c r="B68" s="69" t="s">
        <v>2394</v>
      </c>
      <c r="C68" s="69" t="s">
        <v>2393</v>
      </c>
      <c r="D68" s="67" t="s">
        <v>2392</v>
      </c>
      <c r="E68" s="67" t="s">
        <v>2391</v>
      </c>
      <c r="F68" s="68"/>
      <c r="G68" s="67"/>
      <c r="H68" s="67"/>
      <c r="J68">
        <f t="shared" si="11"/>
        <v>14</v>
      </c>
      <c r="K68">
        <f t="shared" si="13"/>
        <v>11</v>
      </c>
      <c r="L68">
        <f t="shared" si="12"/>
        <v>51</v>
      </c>
      <c r="M68">
        <f t="shared" si="14"/>
        <v>62</v>
      </c>
    </row>
    <row r="70" spans="1:13" ht="15" customHeight="1">
      <c r="A70" s="106" t="s">
        <v>2189</v>
      </c>
      <c r="B70" s="65" t="s">
        <v>2134</v>
      </c>
      <c r="C70" s="65" t="s">
        <v>2134</v>
      </c>
      <c r="D70" s="35" t="s">
        <v>2190</v>
      </c>
      <c r="E70" s="65" t="s">
        <v>2191</v>
      </c>
      <c r="F70" s="66"/>
      <c r="G70" s="65"/>
      <c r="H70" s="65"/>
      <c r="J70">
        <f t="shared" ref="J70:M75" si="15">IF(B70=0,"",LEN(B70))</f>
        <v>15</v>
      </c>
      <c r="K70">
        <f t="shared" si="15"/>
        <v>15</v>
      </c>
      <c r="L70">
        <f t="shared" si="15"/>
        <v>54</v>
      </c>
      <c r="M70">
        <f t="shared" si="15"/>
        <v>51</v>
      </c>
    </row>
    <row r="71" spans="1:13" ht="30">
      <c r="A71" s="106"/>
      <c r="B71" s="49" t="s">
        <v>2192</v>
      </c>
      <c r="C71" s="49" t="s">
        <v>2193</v>
      </c>
      <c r="D71" s="60" t="s">
        <v>2194</v>
      </c>
      <c r="E71" s="49" t="s">
        <v>2195</v>
      </c>
      <c r="F71" s="64"/>
      <c r="G71" s="49"/>
      <c r="H71" s="60" t="s">
        <v>2196</v>
      </c>
      <c r="J71">
        <f t="shared" si="15"/>
        <v>13</v>
      </c>
      <c r="K71">
        <f t="shared" si="15"/>
        <v>14</v>
      </c>
      <c r="L71">
        <f t="shared" si="15"/>
        <v>45</v>
      </c>
      <c r="M71">
        <f t="shared" si="15"/>
        <v>55</v>
      </c>
    </row>
    <row r="72" spans="1:13">
      <c r="A72" s="106"/>
      <c r="B72" s="49" t="s">
        <v>2215</v>
      </c>
      <c r="C72" s="49" t="s">
        <v>2216</v>
      </c>
      <c r="D72" s="60" t="s">
        <v>2354</v>
      </c>
      <c r="E72" s="62" t="s">
        <v>2353</v>
      </c>
      <c r="F72" s="63"/>
      <c r="G72" s="62"/>
      <c r="H72" s="49"/>
      <c r="J72">
        <f t="shared" si="15"/>
        <v>17</v>
      </c>
      <c r="K72">
        <f t="shared" si="15"/>
        <v>12</v>
      </c>
      <c r="L72">
        <f t="shared" si="15"/>
        <v>24</v>
      </c>
      <c r="M72">
        <f t="shared" si="15"/>
        <v>22</v>
      </c>
    </row>
    <row r="73" spans="1:13">
      <c r="A73" s="106"/>
      <c r="B73" s="49" t="s">
        <v>2217</v>
      </c>
      <c r="C73" s="49" t="s">
        <v>2217</v>
      </c>
      <c r="D73" s="60"/>
      <c r="E73" s="49"/>
      <c r="F73" s="64"/>
      <c r="G73" s="49"/>
      <c r="H73" s="49"/>
      <c r="J73">
        <f t="shared" si="15"/>
        <v>10</v>
      </c>
      <c r="K73">
        <f t="shared" si="15"/>
        <v>10</v>
      </c>
      <c r="L73" t="str">
        <f t="shared" si="15"/>
        <v/>
      </c>
      <c r="M73" t="str">
        <f t="shared" si="15"/>
        <v/>
      </c>
    </row>
    <row r="74" spans="1:13">
      <c r="A74" s="106"/>
      <c r="B74" s="62" t="s">
        <v>2218</v>
      </c>
      <c r="C74" s="62" t="s">
        <v>2218</v>
      </c>
      <c r="D74" s="60"/>
      <c r="E74" s="62" t="s">
        <v>2352</v>
      </c>
      <c r="F74" s="63"/>
      <c r="G74" s="62"/>
      <c r="H74" s="49"/>
      <c r="J74">
        <f t="shared" si="15"/>
        <v>18</v>
      </c>
      <c r="K74">
        <f t="shared" si="15"/>
        <v>18</v>
      </c>
      <c r="L74" t="str">
        <f t="shared" si="15"/>
        <v/>
      </c>
      <c r="M74">
        <f t="shared" si="15"/>
        <v>42</v>
      </c>
    </row>
    <row r="75" spans="1:13">
      <c r="A75" s="106"/>
      <c r="B75" s="49"/>
      <c r="C75" s="49" t="s">
        <v>2208</v>
      </c>
      <c r="D75" s="60"/>
      <c r="E75" s="62"/>
      <c r="F75" s="63"/>
      <c r="G75" s="62"/>
      <c r="H75" s="49"/>
      <c r="J75" t="str">
        <f t="shared" si="15"/>
        <v/>
      </c>
      <c r="K75">
        <f t="shared" si="15"/>
        <v>24</v>
      </c>
      <c r="L75" t="str">
        <f t="shared" si="15"/>
        <v/>
      </c>
      <c r="M75" t="str">
        <f t="shared" si="15"/>
        <v/>
      </c>
    </row>
    <row r="76" spans="1:13">
      <c r="A76" s="106"/>
      <c r="B76" s="60" t="s">
        <v>2351</v>
      </c>
      <c r="C76" s="60"/>
      <c r="D76" s="60"/>
      <c r="E76" s="60"/>
      <c r="F76" s="61"/>
      <c r="G76" s="60"/>
      <c r="H76" s="60"/>
    </row>
    <row r="77" spans="1:13">
      <c r="A77" s="106"/>
      <c r="B77" s="60" t="s">
        <v>2350</v>
      </c>
      <c r="C77" s="60" t="s">
        <v>2349</v>
      </c>
      <c r="D77" s="60" t="s">
        <v>2348</v>
      </c>
      <c r="E77" s="60" t="s">
        <v>2347</v>
      </c>
      <c r="F77" s="61" t="s">
        <v>2390</v>
      </c>
      <c r="G77" s="60"/>
      <c r="H77" s="59"/>
    </row>
    <row r="78" spans="1:13">
      <c r="B78" s="40" t="s">
        <v>2346</v>
      </c>
    </row>
    <row r="79" spans="1:13">
      <c r="C79" t="s">
        <v>2389</v>
      </c>
    </row>
    <row r="80" spans="1:13" ht="60">
      <c r="H80" s="21" t="s">
        <v>2388</v>
      </c>
    </row>
    <row r="81" spans="2:8" ht="45">
      <c r="B81" t="s">
        <v>2465</v>
      </c>
      <c r="H81" s="21" t="s">
        <v>2466</v>
      </c>
    </row>
  </sheetData>
  <mergeCells count="6">
    <mergeCell ref="A70:A77"/>
    <mergeCell ref="A2:A12"/>
    <mergeCell ref="A15:A27"/>
    <mergeCell ref="A58:A67"/>
    <mergeCell ref="A39:A56"/>
    <mergeCell ref="A30:A34"/>
  </mergeCells>
  <conditionalFormatting sqref="J1:K13 J15:K1048576">
    <cfRule type="cellIs" dxfId="9" priority="3" operator="equal">
      <formula>""</formula>
    </cfRule>
    <cfRule type="cellIs" dxfId="8" priority="4" operator="greaterThanOrEqual">
      <formula>20</formula>
    </cfRule>
  </conditionalFormatting>
  <conditionalFormatting sqref="L1:M13 L15:M1048576">
    <cfRule type="cellIs" dxfId="7" priority="1" operator="equal">
      <formula>""</formula>
    </cfRule>
    <cfRule type="cellIs" dxfId="6"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tabSelected="1" topLeftCell="A207" zoomScaleNormal="100" workbookViewId="0">
      <selection activeCell="C216" sqref="C216"/>
    </sheetView>
  </sheetViews>
  <sheetFormatPr baseColWidth="10" defaultRowHeight="15" outlineLevelCol="1"/>
  <cols>
    <col min="1" max="1" width="36.42578125" customWidth="1"/>
    <col min="2" max="2" width="169.28515625" customWidth="1"/>
    <col min="3" max="3" width="28.28515625" customWidth="1" outlineLevel="1"/>
    <col min="4" max="4" width="153.42578125" customWidth="1" outlineLevel="1"/>
    <col min="5" max="5" width="15.140625" customWidth="1" outlineLevel="1"/>
    <col min="6" max="6" width="19.5703125" customWidth="1" outlineLevel="1"/>
    <col min="9" max="9" width="11.42578125" style="14"/>
    <col min="15" max="15" width="11.42578125" style="23"/>
  </cols>
  <sheetData>
    <row r="1" spans="1:15">
      <c r="A1" t="s">
        <v>307</v>
      </c>
      <c r="B1" t="s">
        <v>1224</v>
      </c>
      <c r="C1" t="s">
        <v>1563</v>
      </c>
      <c r="D1" t="s">
        <v>308</v>
      </c>
      <c r="E1" t="s">
        <v>306</v>
      </c>
      <c r="F1" t="s">
        <v>309</v>
      </c>
      <c r="G1" t="s">
        <v>310</v>
      </c>
      <c r="I1" s="14" t="s">
        <v>310</v>
      </c>
      <c r="O1" s="23" t="s">
        <v>1576</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2543</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2544</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2545</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2546</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2547</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2548</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2549</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2550</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2551</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2552</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2553</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2554</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2555</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2556</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2557</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2558</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2559</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2560</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2561</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2562</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2563</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2564</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2565</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2566</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2567</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2568</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2569</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2570</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2571</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2572</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2573</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2574</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2575</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2576</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2577</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2578</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2579</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2580</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2581</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2582</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2583</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2584</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2585</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2586</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2587</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2588</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2589</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2590</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2591</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2592</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2593</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2594</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2595</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2596</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2597</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2598</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2599</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2600</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2601</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2602</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2603</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2604</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2605</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2606</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2607</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2608</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2609</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2610</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2611</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2612</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2613</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2614</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2615</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2616</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2617</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2618</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2619</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2620</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2621</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2622</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2623</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2624</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2625</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2626</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2627</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2628</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2629</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2630</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2631</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2632</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2633</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2634</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2635</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2636</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2637</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2638</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2639</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2640</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2641</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3318</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2642</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2643</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2644</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3319</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2645</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2646</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v>
      </c>
      <c r="I108" s="14" t="s">
        <v>2647</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2648</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2649</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2650</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2651</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2652</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2653</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2654</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2655</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2656</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2657</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2658</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2659</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2660</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2661</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2662</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2663</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2664</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2665</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2666</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2667</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2668</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2669</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2670</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2671</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2672</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2673</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2674</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2675</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2676</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2677</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2678</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2679</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2680</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3320</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2681</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2682</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2683</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2684</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2685</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2686</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2687</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2688</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2689</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2690</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2691</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2692</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2693</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2694</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2695</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2696</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2697</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2698</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2699</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2700</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2701</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2702</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2703</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2704</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2705</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2706</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2707</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2708</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2709</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2710</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2711</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2712</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2713</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2714</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2715</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2716</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2717</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2718</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2719</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2720</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2721</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2722</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2723</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2724</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2725</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2726</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2727</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2728</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2729</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2730</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2731</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2732</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2733</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2734</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2735</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2736</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2737</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2738</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2739</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2740</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2741</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2742</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2743</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2744</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2745</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2746</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2747</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2748</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2749</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2750</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2751</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2752</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2753</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2754</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2755</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2756</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2757</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2758</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2759</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2760</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2761</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2762</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2763</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2764</v>
      </c>
      <c r="O226" s="23" t="s">
        <v>1450</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3321</v>
      </c>
      <c r="O227" s="5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2765</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2766</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2767</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2768</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2769</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2770</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2771</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2772</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2773</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2774</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2775</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2776</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3322</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2777</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2778</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2779</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2780</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2781</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2782</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2783</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2784</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2785</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2786</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2787</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2788</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2789</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2790</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2791</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2792</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2793</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2794</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2795</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2796</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2797</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2798</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2799</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2800</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2801</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2802</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2803</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2804</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2805</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2806</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2807</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2808</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2809</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2810</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2811</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2812</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2813</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2814</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2815</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opLeftCell="A7"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2438</v>
      </c>
      <c r="B13" t="s">
        <v>2437</v>
      </c>
      <c r="C13"/>
      <c r="D13"/>
      <c r="E13"/>
    </row>
    <row r="14" spans="1:6">
      <c r="A14"/>
      <c r="B14" t="s">
        <v>2436</v>
      </c>
      <c r="C14"/>
      <c r="D14"/>
      <c r="E14"/>
    </row>
    <row r="15" spans="1:6">
      <c r="A15" t="s">
        <v>2435</v>
      </c>
      <c r="B15"/>
      <c r="C15" t="s">
        <v>2434</v>
      </c>
      <c r="D15" t="s">
        <v>2433</v>
      </c>
    </row>
    <row r="16" spans="1:6">
      <c r="A16"/>
      <c r="B16"/>
      <c r="C16"/>
      <c r="D16"/>
    </row>
    <row r="17" spans="1:5">
      <c r="A17"/>
      <c r="B17"/>
      <c r="C17" t="s">
        <v>2432</v>
      </c>
      <c r="D17"/>
    </row>
    <row r="18" spans="1:5">
      <c r="A18"/>
      <c r="B18"/>
      <c r="C18" t="s">
        <v>2431</v>
      </c>
      <c r="D18"/>
    </row>
    <row r="19" spans="1:5">
      <c r="A19"/>
      <c r="B19"/>
      <c r="C19" t="s">
        <v>2430</v>
      </c>
      <c r="D19" t="s">
        <v>2429</v>
      </c>
    </row>
    <row r="20" spans="1:5">
      <c r="A20"/>
      <c r="B20"/>
      <c r="C20" t="s">
        <v>2428</v>
      </c>
      <c r="D20" t="s">
        <v>2427</v>
      </c>
    </row>
    <row r="21" spans="1:5">
      <c r="A21"/>
      <c r="B21"/>
      <c r="C21" t="s">
        <v>2426</v>
      </c>
      <c r="D21"/>
      <c r="E21" t="s">
        <v>3169</v>
      </c>
    </row>
    <row r="22" spans="1:5">
      <c r="A22"/>
      <c r="B22"/>
      <c r="C22" t="s">
        <v>2425</v>
      </c>
      <c r="D22" s="97" t="s">
        <v>3168</v>
      </c>
      <c r="E22" t="s">
        <v>1563</v>
      </c>
    </row>
    <row r="23" spans="1:5">
      <c r="A23"/>
      <c r="B23"/>
      <c r="C23" t="s">
        <v>2424</v>
      </c>
      <c r="D23" s="97" t="s">
        <v>3167</v>
      </c>
      <c r="E23" t="s">
        <v>1563</v>
      </c>
    </row>
    <row r="24" spans="1:5">
      <c r="A24"/>
      <c r="B24"/>
      <c r="C24" t="s">
        <v>2423</v>
      </c>
      <c r="D24" s="97" t="s">
        <v>3166</v>
      </c>
      <c r="E24" t="s">
        <v>3165</v>
      </c>
    </row>
    <row r="25" spans="1:5">
      <c r="A25"/>
      <c r="B25"/>
      <c r="C25" t="s">
        <v>2422</v>
      </c>
      <c r="D25" s="97" t="s">
        <v>3164</v>
      </c>
      <c r="E25" t="s">
        <v>3163</v>
      </c>
    </row>
    <row r="26" spans="1:5">
      <c r="A26"/>
      <c r="B26"/>
      <c r="C26" t="s">
        <v>2421</v>
      </c>
      <c r="D26"/>
      <c r="E26"/>
    </row>
    <row r="27" spans="1:5">
      <c r="A27"/>
      <c r="B27"/>
      <c r="C27" t="s">
        <v>2420</v>
      </c>
      <c r="D27"/>
      <c r="E27"/>
    </row>
    <row r="28" spans="1:5">
      <c r="A28"/>
      <c r="B28"/>
      <c r="C28" t="s">
        <v>2419</v>
      </c>
      <c r="D28"/>
      <c r="E28"/>
    </row>
    <row r="29" spans="1:5">
      <c r="A29"/>
      <c r="B29"/>
      <c r="C29" t="s">
        <v>2418</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workbookViewId="0">
      <selection activeCell="O14" sqref="O14"/>
    </sheetView>
  </sheetViews>
  <sheetFormatPr baseColWidth="10" defaultRowHeight="15"/>
  <cols>
    <col min="1" max="1" width="12.85546875" customWidth="1"/>
    <col min="12" max="12" width="13.140625" bestFit="1" customWidth="1"/>
    <col min="14" max="14" width="13.7109375" bestFit="1" customWidth="1"/>
  </cols>
  <sheetData>
    <row r="1" spans="1:18">
      <c r="A1" t="s">
        <v>2438</v>
      </c>
      <c r="B1" t="s">
        <v>2437</v>
      </c>
    </row>
    <row r="2" spans="1:18">
      <c r="B2" t="s">
        <v>2436</v>
      </c>
    </row>
    <row r="3" spans="1:18">
      <c r="E3" s="50"/>
      <c r="H3" t="s">
        <v>2517</v>
      </c>
    </row>
    <row r="7" spans="1:18">
      <c r="N7" t="s">
        <v>2518</v>
      </c>
    </row>
    <row r="8" spans="1:18">
      <c r="N8" t="s">
        <v>2519</v>
      </c>
    </row>
    <row r="9" spans="1:18">
      <c r="A9" t="s">
        <v>2975</v>
      </c>
      <c r="N9" t="s">
        <v>2520</v>
      </c>
    </row>
    <row r="10" spans="1:18">
      <c r="N10" t="s">
        <v>2521</v>
      </c>
    </row>
    <row r="11" spans="1:18">
      <c r="A11" t="s">
        <v>2976</v>
      </c>
      <c r="J11" s="13"/>
    </row>
    <row r="12" spans="1:18">
      <c r="A12" t="s">
        <v>2977</v>
      </c>
    </row>
    <row r="13" spans="1:18">
      <c r="A13" t="s">
        <v>2978</v>
      </c>
    </row>
    <row r="14" spans="1:18">
      <c r="A14" t="s">
        <v>2979</v>
      </c>
    </row>
    <row r="15" spans="1:18">
      <c r="A15" t="s">
        <v>2980</v>
      </c>
    </row>
    <row r="16" spans="1:18">
      <c r="A16" t="s">
        <v>2981</v>
      </c>
      <c r="N16" s="21"/>
      <c r="O16" s="21"/>
      <c r="P16" s="21"/>
      <c r="Q16" s="21"/>
      <c r="R16" s="21"/>
    </row>
    <row r="17" spans="1:19">
      <c r="N17" s="21"/>
      <c r="O17" s="21"/>
      <c r="P17" s="21"/>
      <c r="Q17" s="21"/>
      <c r="R17" s="21"/>
    </row>
    <row r="19" spans="1:19" ht="15" customHeight="1">
      <c r="A19" s="48"/>
      <c r="S19" s="21"/>
    </row>
    <row r="20" spans="1:19">
      <c r="A20" s="48"/>
      <c r="S20" s="21"/>
    </row>
    <row r="22" spans="1:19">
      <c r="A22" t="s">
        <v>2522</v>
      </c>
    </row>
    <row r="24" spans="1:19">
      <c r="A24" t="s">
        <v>2523</v>
      </c>
    </row>
    <row r="25" spans="1:19">
      <c r="A25" t="s">
        <v>2524</v>
      </c>
    </row>
    <row r="26" spans="1:19">
      <c r="A26" t="s">
        <v>2525</v>
      </c>
      <c r="B26" t="s">
        <v>2526</v>
      </c>
    </row>
    <row r="28" spans="1:19">
      <c r="A28" t="s">
        <v>2527</v>
      </c>
    </row>
    <row r="29" spans="1:19">
      <c r="A29" t="s">
        <v>2528</v>
      </c>
    </row>
    <row r="30" spans="1:19">
      <c r="A30" t="s">
        <v>2529</v>
      </c>
    </row>
    <row r="31" spans="1:19">
      <c r="A31" t="s">
        <v>2530</v>
      </c>
    </row>
    <row r="32" spans="1:19">
      <c r="A32" t="s">
        <v>2531</v>
      </c>
    </row>
    <row r="33" spans="1:19">
      <c r="A33" t="s">
        <v>2532</v>
      </c>
      <c r="R33" s="51" t="s">
        <v>2533</v>
      </c>
      <c r="S33" t="s">
        <v>2534</v>
      </c>
    </row>
    <row r="34" spans="1:19">
      <c r="A34" t="s">
        <v>2535</v>
      </c>
      <c r="B34" t="s">
        <v>2536</v>
      </c>
      <c r="R34" t="s">
        <v>2537</v>
      </c>
      <c r="S34" t="s">
        <v>2538</v>
      </c>
    </row>
    <row r="35" spans="1:19">
      <c r="R35" t="s">
        <v>2539</v>
      </c>
      <c r="S35" t="s">
        <v>720</v>
      </c>
    </row>
    <row r="36" spans="1:19">
      <c r="R36" t="s">
        <v>2540</v>
      </c>
      <c r="S36" t="s">
        <v>2418</v>
      </c>
    </row>
    <row r="37" spans="1:19">
      <c r="R37" t="s">
        <v>2541</v>
      </c>
      <c r="S37" t="s">
        <v>2542</v>
      </c>
    </row>
  </sheetData>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Bildersammlung</vt:lpstr>
      <vt:lpstr>BilderNotInUse</vt:lpstr>
      <vt:lpstr>projekt-w</vt:lpstr>
      <vt:lpstr>Ingame Bilder</vt:lpstr>
      <vt:lpstr>Erfolge</vt:lpstr>
      <vt:lpstr>XML</vt:lpstr>
      <vt:lpstr>Ideensammlungen</vt:lpstr>
      <vt:lpstr>Kompetenzstufen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2015-07-23T16:14:27Z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